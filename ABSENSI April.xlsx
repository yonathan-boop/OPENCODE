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  <sheet name="Dat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Tahoma"/>
      <b val="1"/>
      <color theme="1"/>
      <sz val="16"/>
    </font>
    <font>
      <name val="Tahoma"/>
      <color theme="1"/>
      <sz val="11"/>
    </font>
    <font>
      <name val="Tahoma"/>
      <color rgb="FF000000"/>
      <sz val="11"/>
    </font>
    <font>
      <name val="Tahoma"/>
      <b val="1"/>
      <color theme="1"/>
      <sz val="14"/>
    </font>
    <font>
      <name val="Calibri"/>
      <color theme="1"/>
      <sz val="11"/>
    </font>
    <font>
      <name val="Tahoma"/>
      <b val="1"/>
      <color theme="1"/>
      <sz val="11"/>
    </font>
    <font>
      <name val="Tahoma"/>
      <b val="1"/>
      <i val="1"/>
      <color theme="1"/>
      <sz val="11"/>
    </font>
    <font>
      <name val="Tahoma"/>
      <color theme="1"/>
      <sz val="9"/>
    </font>
    <font>
      <name val="Tahoma"/>
      <color theme="1"/>
      <sz val="10"/>
    </font>
    <font>
      <name val="Calibri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49" fontId="8" fillId="2" borderId="4" applyAlignment="1" pivotButton="0" quotePrefix="0" xfId="0">
      <alignment horizontal="center" vertical="center"/>
    </xf>
    <xf numFmtId="0" fontId="5" fillId="0" borderId="4" pivotButton="0" quotePrefix="0" xfId="0"/>
    <xf numFmtId="0" fontId="2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9" fillId="0" borderId="4" applyAlignment="1" pivotButton="0" quotePrefix="0" xfId="0">
      <alignment vertical="center" shrinkToFit="1"/>
    </xf>
    <xf numFmtId="0" fontId="6" fillId="3" borderId="4" applyAlignment="1" pivotButton="0" quotePrefix="0" xfId="0">
      <alignment vertical="center"/>
    </xf>
    <xf numFmtId="0" fontId="9" fillId="3" borderId="4" applyAlignment="1" pivotButton="0" quotePrefix="0" xfId="0">
      <alignment vertical="center" shrinkToFit="1"/>
    </xf>
    <xf numFmtId="0" fontId="5" fillId="3" borderId="4" pivotButton="0" quotePrefix="0" xfId="0"/>
    <xf numFmtId="0" fontId="10" fillId="0" borderId="0" applyAlignment="1" pivotButton="0" quotePrefix="0" xfId="0">
      <alignment horizontal="right"/>
    </xf>
    <xf numFmtId="0" fontId="2" fillId="0" borderId="4" applyAlignment="1" pivotButton="0" quotePrefix="1" xfId="0">
      <alignment horizontal="center" vertical="center"/>
    </xf>
    <xf numFmtId="0" fontId="2" fillId="0" borderId="4" applyAlignment="1" pivotButton="0" quotePrefix="0" xfId="0">
      <alignment horizontal="left" vertical="center" shrinkToFit="1"/>
    </xf>
    <xf numFmtId="0" fontId="2" fillId="4" borderId="4" applyAlignment="1" pivotButton="0" quotePrefix="0" xfId="0">
      <alignment vertical="center" shrinkToFit="1"/>
    </xf>
    <xf numFmtId="0" fontId="2" fillId="4" borderId="4" applyAlignment="1" pivotButton="0" quotePrefix="0" xfId="0">
      <alignment horizontal="left" vertical="center" shrinkToFit="1"/>
    </xf>
    <xf numFmtId="0" fontId="2" fillId="0" borderId="4" applyAlignment="1" pivotButton="0" quotePrefix="0" xfId="0">
      <alignment vertical="center" shrinkToFit="1"/>
    </xf>
    <xf numFmtId="0" fontId="2" fillId="4" borderId="4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5" fillId="6" borderId="4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6" fillId="2" borderId="7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A1" sqref="A1:P1"/>
    </sheetView>
  </sheetViews>
  <sheetFormatPr baseColWidth="8" defaultColWidth="14.453125" defaultRowHeight="15" customHeight="1"/>
  <cols>
    <col width="6.453125" customWidth="1" style="35" min="1" max="1"/>
    <col width="7" customWidth="1" style="35" min="2" max="2"/>
    <col width="31.81640625" customWidth="1" style="35" min="3" max="3"/>
    <col hidden="1" width="5" customWidth="1" style="35" min="4" max="12"/>
    <col hidden="1" width="5" customWidth="1" style="35" min="5" max="5"/>
    <col hidden="1" width="5" customWidth="1" style="35" min="6" max="6"/>
    <col hidden="1" width="5" customWidth="1" style="35" min="7" max="7"/>
    <col hidden="1" width="5" customWidth="1" style="35" min="8" max="8"/>
    <col hidden="1" width="5" customWidth="1" style="35" min="9" max="9"/>
    <col hidden="1" width="5" customWidth="1" style="35" min="10" max="10"/>
    <col hidden="1" width="5" customWidth="1" style="35" min="11" max="11"/>
    <col hidden="1" width="5" customWidth="1" style="35" min="12" max="12"/>
    <col hidden="1" width="5" customWidth="1" style="35" min="13" max="34"/>
    <col hidden="1" width="5" customWidth="1" style="35" min="14" max="14"/>
    <col hidden="1" width="5" customWidth="1" style="35" min="15" max="15"/>
    <col hidden="1" width="5" customWidth="1" style="35" min="16" max="16"/>
    <col width="5" customWidth="1" style="35" min="17" max="17"/>
    <col width="5" customWidth="1" style="35" min="18" max="18"/>
    <col width="5" customWidth="1" style="35" min="19" max="19"/>
    <col width="5" customWidth="1" style="35" min="20" max="20"/>
    <col width="5" customWidth="1" style="35" min="21" max="21"/>
    <col width="5" customWidth="1" style="35" min="22" max="22"/>
    <col width="5" customWidth="1" style="35" min="23" max="23"/>
    <col width="5" customWidth="1" style="35" min="24" max="24"/>
    <col width="5" customWidth="1" style="35" min="25" max="25"/>
    <col width="5" customWidth="1" style="35" min="26" max="26"/>
    <col width="5" customWidth="1" style="35" min="27" max="27"/>
    <col width="5" customWidth="1" style="35" min="28" max="28"/>
    <col width="5" customWidth="1" style="35" min="29" max="29"/>
    <col width="5" customWidth="1" style="35" min="30" max="30"/>
    <col width="5" customWidth="1" style="35" min="31" max="31"/>
    <col width="5" customWidth="1" style="35" min="32" max="32"/>
    <col width="5" customWidth="1" style="35" min="33" max="33"/>
    <col width="5" customWidth="1" style="35" min="34" max="34"/>
    <col hidden="1" width="8.7265625" customWidth="1" style="35" min="35" max="37"/>
    <col width="5.54296875" customWidth="1" style="35" min="38" max="41"/>
  </cols>
  <sheetData>
    <row r="1" ht="14.25" customHeight="1" s="35">
      <c r="A1" s="34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5">
      <c r="A2" s="36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5">
      <c r="A3" s="4" t="inlineStr">
        <is>
          <t>Kelas</t>
        </is>
      </c>
      <c r="B3" s="4" t="n"/>
      <c r="C3" s="4">
        <f>" : " &amp; IF(AJ2="","",AJ2)</f>
        <v/>
      </c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5">
      <c r="A4" s="4" t="inlineStr">
        <is>
          <t>Walikelas</t>
        </is>
      </c>
      <c r="B4" s="4" t="n"/>
      <c r="C4" s="4">
        <f>IFERROR(" :  " &amp;VLOOKUP($A$7&amp;$AJ$2,#REF!,6,FALSE), "")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5">
      <c r="A5" s="37" t="inlineStr">
        <is>
          <t>Nomor</t>
        </is>
      </c>
      <c r="B5" s="39" t="n"/>
      <c r="C5" s="40" t="inlineStr">
        <is>
          <t>Nama</t>
        </is>
      </c>
      <c r="D5" s="37" t="inlineStr">
        <is>
          <t>April</t>
        </is>
      </c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9" t="n"/>
    </row>
    <row r="6" ht="14.25" customHeight="1" s="35">
      <c r="A6" s="37" t="inlineStr">
        <is>
          <t>Urt</t>
        </is>
      </c>
      <c r="B6" s="37" t="inlineStr">
        <is>
          <t>Induk</t>
        </is>
      </c>
      <c r="C6" s="41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5">
      <c r="A7" s="9" t="n">
        <v>1</v>
      </c>
      <c r="B7" s="10">
        <f>IFERROR(VLOOKUP(A7&amp;$AJ$2,Data!$A$2:$AM$131,3,FALSE), "")</f>
        <v/>
      </c>
      <c r="C7" s="11">
        <f>IFERROR(VLOOKUP(A7&amp;$AJ$2,Data!$A$2:$AM$131,4,FALSE), "")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>
        <f>COUNTIF(D7:AH7,"S")</f>
        <v/>
      </c>
      <c r="AM7" s="8">
        <f>COUNTIF(D7:AH7,"I")</f>
        <v/>
      </c>
      <c r="AN7" s="8">
        <f>COUNTIF(D7:AH7,"A")</f>
        <v/>
      </c>
      <c r="AO7" s="8">
        <f>SUM(AL7:AN7)</f>
        <v/>
      </c>
    </row>
    <row r="8" ht="12" customHeight="1" s="35">
      <c r="A8" s="9" t="n">
        <v>2</v>
      </c>
      <c r="B8" s="10">
        <f>IFERROR(VLOOKUP(A8&amp;$AJ$2,Data!$A$2:$AM$131,3,FALSE), "")</f>
        <v/>
      </c>
      <c r="C8" s="11">
        <f>IFERROR(VLOOKUP(A8&amp;$AJ$2,Data!$A$2:$AM$131,4,FALSE), "")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>
        <f>COUNTIF(D8:AH8,"S")</f>
        <v/>
      </c>
      <c r="AM8" s="8">
        <f>COUNTIF(D8:AH8,"I")</f>
        <v/>
      </c>
      <c r="AN8" s="8">
        <f>COUNTIF(D8:AH8,"A")</f>
        <v/>
      </c>
      <c r="AO8" s="8">
        <f>SUM(AL8:AN8)</f>
        <v/>
      </c>
    </row>
    <row r="9" ht="12" customHeight="1" s="35">
      <c r="A9" s="9" t="n">
        <v>3</v>
      </c>
      <c r="B9" s="10">
        <f>IFERROR(VLOOKUP(A9&amp;$AJ$2,Data!$A$2:$AM$131,3,FALSE), "")</f>
        <v/>
      </c>
      <c r="C9" s="11">
        <f>IFERROR(VLOOKUP(A9&amp;$AJ$2,Data!$A$2:$AM$131,4,FALSE), "")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>
        <f>COUNTIF(D9:AH9,"S")</f>
        <v/>
      </c>
      <c r="AM9" s="8">
        <f>COUNTIF(D9:AH9,"I")</f>
        <v/>
      </c>
      <c r="AN9" s="8">
        <f>COUNTIF(D9:AH9,"A")</f>
        <v/>
      </c>
      <c r="AO9" s="8">
        <f>SUM(AL9:AN9)</f>
        <v/>
      </c>
    </row>
    <row r="10" ht="12" customHeight="1" s="35">
      <c r="A10" s="9" t="n">
        <v>4</v>
      </c>
      <c r="B10" s="12" t="n"/>
      <c r="C10" s="13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K10" s="3" t="inlineStr">
        <is>
          <t>.</t>
        </is>
      </c>
      <c r="AL10" s="8">
        <f>COUNTIF(D10:AH10,"S")</f>
        <v/>
      </c>
      <c r="AM10" s="8">
        <f>COUNTIF(D10:AH10,"I")</f>
        <v/>
      </c>
      <c r="AN10" s="8">
        <f>COUNTIF(D10:AH10,"A")</f>
        <v/>
      </c>
      <c r="AO10" s="8">
        <f>SUM(AL10:AN10)</f>
        <v/>
      </c>
    </row>
    <row r="11" ht="12" customHeight="1" s="35">
      <c r="A11" s="9" t="n">
        <v>5</v>
      </c>
      <c r="B11" s="10">
        <f>IFERROR(VLOOKUP(A11&amp;$AJ$2,Data!$A$2:$AM$131,3,FALSE), "")</f>
        <v/>
      </c>
      <c r="C11" s="11">
        <f>IFERROR(VLOOKUP(A11&amp;$AJ$2,Data!$A$2:$AM$131,4,FALSE), "")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>
        <f>COUNTIF(D11:AH11,"S")</f>
        <v/>
      </c>
      <c r="AM11" s="8">
        <f>COUNTIF(D11:AH11,"I")</f>
        <v/>
      </c>
      <c r="AN11" s="8">
        <f>COUNTIF(D11:AH11,"A")</f>
        <v/>
      </c>
      <c r="AO11" s="8">
        <f>SUM(AL11:AN11)</f>
        <v/>
      </c>
    </row>
    <row r="12" ht="12" customHeight="1" s="35">
      <c r="A12" s="9" t="n">
        <v>6</v>
      </c>
      <c r="B12" s="10">
        <f>IFERROR(VLOOKUP(A12&amp;$AJ$2,Data!$A$2:$AM$131,3,FALSE), "")</f>
        <v/>
      </c>
      <c r="C12" s="11">
        <f>IFERROR(VLOOKUP(A12&amp;$AJ$2,Data!$A$2:$AM$131,4,FALSE), "")</f>
        <v/>
      </c>
      <c r="D12" s="8" t="inlineStr">
        <is>
          <t>S</t>
        </is>
      </c>
      <c r="E12" s="8" t="inlineStr">
        <is>
          <t>S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>
        <f>COUNTIF(D12:AH12,"S")</f>
        <v/>
      </c>
      <c r="AM12" s="8">
        <f>COUNTIF(D12:AH12,"I")</f>
        <v/>
      </c>
      <c r="AN12" s="8">
        <f>COUNTIF(D12:AH12,"A")</f>
        <v/>
      </c>
      <c r="AO12" s="8">
        <f>SUM(AL12:AN12)</f>
        <v/>
      </c>
    </row>
    <row r="13" ht="12" customHeight="1" s="35">
      <c r="A13" s="9" t="n">
        <v>7</v>
      </c>
      <c r="B13" s="10">
        <f>IFERROR(VLOOKUP(A13&amp;$AJ$2,Data!$A$2:$AM$131,3,FALSE), "")</f>
        <v/>
      </c>
      <c r="C13" s="11">
        <f>IFERROR(VLOOKUP(A13&amp;$AJ$2,Data!$A$2:$AM$131,4,FALSE), "")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>
        <f>COUNTIF(D13:AH13,"S")</f>
        <v/>
      </c>
      <c r="AM13" s="8">
        <f>COUNTIF(D13:AH13,"I")</f>
        <v/>
      </c>
      <c r="AN13" s="8">
        <f>COUNTIF(D13:AH13,"A")</f>
        <v/>
      </c>
      <c r="AO13" s="8">
        <f>SUM(AL13:AN13)</f>
        <v/>
      </c>
    </row>
    <row r="14" ht="12" customHeight="1" s="35">
      <c r="A14" s="9" t="n">
        <v>8</v>
      </c>
      <c r="B14" s="10">
        <f>IFERROR(VLOOKUP(A14&amp;$AJ$2,Data!$A$2:$AM$131,3,FALSE), "")</f>
        <v/>
      </c>
      <c r="C14" s="11">
        <f>IFERROR(VLOOKUP(A14&amp;$AJ$2,Data!$A$2:$AM$131,4,FALSE), "")</f>
        <v/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>
        <f>COUNTIF(D14:AH14,"S")</f>
        <v/>
      </c>
      <c r="AM14" s="8">
        <f>COUNTIF(D14:AH14,"I")</f>
        <v/>
      </c>
      <c r="AN14" s="8">
        <f>COUNTIF(D14:AH14,"A")</f>
        <v/>
      </c>
      <c r="AO14" s="8">
        <f>SUM(AL14:AN14)</f>
        <v/>
      </c>
    </row>
    <row r="15" ht="12" customHeight="1" s="35">
      <c r="A15" s="9" t="n">
        <v>9</v>
      </c>
      <c r="B15" s="10">
        <f>IFERROR(VLOOKUP(A15&amp;$AJ$2,Data!$A$2:$AM$131,3,FALSE), "")</f>
        <v/>
      </c>
      <c r="C15" s="11">
        <f>IFERROR(VLOOKUP(A15&amp;$AJ$2,Data!$A$2:$AM$131,4,FALSE), "")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>
        <f>COUNTIF(D15:AH15,"S")</f>
        <v/>
      </c>
      <c r="AM15" s="8">
        <f>COUNTIF(D15:AH15,"I")</f>
        <v/>
      </c>
      <c r="AN15" s="8">
        <f>COUNTIF(D15:AH15,"A")</f>
        <v/>
      </c>
      <c r="AO15" s="8">
        <f>SUM(AL15:AN15)</f>
        <v/>
      </c>
    </row>
    <row r="16" ht="12" customHeight="1" s="35">
      <c r="A16" s="9" t="n">
        <v>10</v>
      </c>
      <c r="B16" s="10">
        <f>IFERROR(VLOOKUP(A16&amp;$AJ$2,Data!$A$2:$AM$131,3,FALSE), "")</f>
        <v/>
      </c>
      <c r="C16" s="11">
        <f>IFERROR(VLOOKUP(A16&amp;$AJ$2,Data!$A$2:$AM$131,4,FALSE), "")</f>
        <v/>
      </c>
      <c r="D16" s="8" t="n"/>
      <c r="E16" s="8" t="n"/>
      <c r="F16" s="8" t="n"/>
      <c r="G16" s="8" t="n"/>
      <c r="H16" s="8" t="n"/>
      <c r="I16" s="8" t="n"/>
      <c r="J16" s="8" t="n"/>
      <c r="K16" s="8" t="inlineStr">
        <is>
          <t>.</t>
        </is>
      </c>
      <c r="L16" s="8" t="inlineStr">
        <is>
          <t>S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>
        <f>COUNTIF(D16:AH16,"S")</f>
        <v/>
      </c>
      <c r="AM16" s="8">
        <f>COUNTIF(D16:AH16,"I")</f>
        <v/>
      </c>
      <c r="AN16" s="8">
        <f>COUNTIF(D16:AH16,"A")</f>
        <v/>
      </c>
      <c r="AO16" s="8">
        <f>SUM(AL16:AN16)</f>
        <v/>
      </c>
    </row>
    <row r="17" ht="12" customHeight="1" s="35">
      <c r="A17" s="9" t="n">
        <v>11</v>
      </c>
      <c r="B17" s="10">
        <f>IFERROR(VLOOKUP(A17&amp;$AJ$2,Data!$A$2:$AM$131,3,FALSE), "")</f>
        <v/>
      </c>
      <c r="C17" s="11">
        <f>IFERROR(VLOOKUP(A17&amp;$AJ$2,Data!$A$2:$AM$131,4,FALSE), "")</f>
        <v/>
      </c>
      <c r="D17" s="8" t="n"/>
      <c r="E17" s="8" t="n"/>
      <c r="F17" s="8" t="n"/>
      <c r="G17" s="8" t="n"/>
      <c r="H17" s="8" t="n"/>
      <c r="I17" s="8" t="inlineStr">
        <is>
          <t>S</t>
        </is>
      </c>
      <c r="J17" s="8" t="inlineStr">
        <is>
          <t>S</t>
        </is>
      </c>
      <c r="K17" s="8" t="inlineStr">
        <is>
          <t>S</t>
        </is>
      </c>
      <c r="L17" s="8" t="inlineStr">
        <is>
          <t>S</t>
        </is>
      </c>
      <c r="M17" s="8" t="n"/>
      <c r="N17" s="8" t="n"/>
      <c r="O17" s="8" t="n"/>
      <c r="P17" s="8" t="inlineStr">
        <is>
          <t>S</t>
        </is>
      </c>
      <c r="Q17" s="8" t="inlineStr">
        <is>
          <t>S</t>
        </is>
      </c>
      <c r="R17" s="8" t="inlineStr">
        <is>
          <t>S</t>
        </is>
      </c>
      <c r="S17" s="8" t="inlineStr">
        <is>
          <t>S</t>
        </is>
      </c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>
        <f>COUNTIF(D17:AH17,"S")</f>
        <v/>
      </c>
      <c r="AM17" s="8">
        <f>COUNTIF(D17:AH17,"I")</f>
        <v/>
      </c>
      <c r="AN17" s="8">
        <f>COUNTIF(D17:AH17,"A")</f>
        <v/>
      </c>
      <c r="AO17" s="8">
        <f>SUM(AL17:AN17)</f>
        <v/>
      </c>
    </row>
    <row r="18" ht="12" customHeight="1" s="35">
      <c r="A18" s="9" t="n">
        <v>12</v>
      </c>
      <c r="B18" s="10">
        <f>IFERROR(VLOOKUP(A18&amp;$AJ$2,Data!$A$2:$AM$131,3,FALSE), "")</f>
        <v/>
      </c>
      <c r="C18" s="11">
        <f>IFERROR(VLOOKUP(A18&amp;$AJ$2,Data!$A$2:$AM$131,4,FALSE), "")</f>
        <v/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>
        <f>COUNTIF(D18:AH18,"S")</f>
        <v/>
      </c>
      <c r="AM18" s="8">
        <f>COUNTIF(D18:AH18,"I")</f>
        <v/>
      </c>
      <c r="AN18" s="8">
        <f>COUNTIF(D18:AH18,"A")</f>
        <v/>
      </c>
      <c r="AO18" s="8">
        <f>SUM(AL18:AN18)</f>
        <v/>
      </c>
    </row>
    <row r="19" ht="12" customHeight="1" s="35">
      <c r="A19" s="9" t="n">
        <v>13</v>
      </c>
      <c r="B19" s="10">
        <f>IFERROR(VLOOKUP(A19&amp;$AJ$2,Data!$A$2:$AM$131,3,FALSE), "")</f>
        <v/>
      </c>
      <c r="C19" s="11">
        <f>IFERROR(VLOOKUP(A19&amp;$AJ$2,Data!$A$2:$AM$131,4,FALSE), "")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>
        <f>COUNTIF(D19:AH19,"S")</f>
        <v/>
      </c>
      <c r="AM19" s="8">
        <f>COUNTIF(D19:AH19,"I")</f>
        <v/>
      </c>
      <c r="AN19" s="8">
        <f>COUNTIF(D19:AH19,"A")</f>
        <v/>
      </c>
      <c r="AO19" s="8">
        <f>SUM(AL19:AN19)</f>
        <v/>
      </c>
    </row>
    <row r="20" ht="12" customHeight="1" s="35">
      <c r="A20" s="9" t="n">
        <v>14</v>
      </c>
      <c r="B20" s="10">
        <f>IFERROR(VLOOKUP(A20&amp;$AJ$2,Data!$A$2:$AM$131,3,FALSE), "")</f>
        <v/>
      </c>
      <c r="C20" s="11">
        <f>IFERROR(VLOOKUP(A20&amp;$AJ$2,Data!$A$2:$AM$131,4,FALSE), "")</f>
        <v/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>
        <f>COUNTIF(D20:AH20,"S")</f>
        <v/>
      </c>
      <c r="AM20" s="8">
        <f>COUNTIF(D20:AH20,"I")</f>
        <v/>
      </c>
      <c r="AN20" s="8">
        <f>COUNTIF(D20:AH20,"A")</f>
        <v/>
      </c>
      <c r="AO20" s="8">
        <f>SUM(AL20:AN20)</f>
        <v/>
      </c>
    </row>
    <row r="21" ht="12" customHeight="1" s="35">
      <c r="A21" s="9" t="n">
        <v>15</v>
      </c>
      <c r="B21" s="10">
        <f>IFERROR(VLOOKUP(A21&amp;$AJ$2,Data!$A$2:$AM$131,3,FALSE), "")</f>
        <v/>
      </c>
      <c r="C21" s="11">
        <f>IFERROR(VLOOKUP(A21&amp;$AJ$2,Data!$A$2:$AM$131,4,FALSE), "")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>
        <f>COUNTIF(D21:AH21,"S")</f>
        <v/>
      </c>
      <c r="AM21" s="8">
        <f>COUNTIF(D21:AH21,"I")</f>
        <v/>
      </c>
      <c r="AN21" s="8">
        <f>COUNTIF(D21:AH21,"A")</f>
        <v/>
      </c>
      <c r="AO21" s="8">
        <f>SUM(AL21:AN21)</f>
        <v/>
      </c>
    </row>
    <row r="22" ht="12" customHeight="1" s="35">
      <c r="A22" s="9" t="n">
        <v>16</v>
      </c>
      <c r="B22" s="10">
        <f>IFERROR(VLOOKUP(A22&amp;$AJ$2,Data!$A$2:$AM$131,3,FALSE), "")</f>
        <v/>
      </c>
      <c r="C22" s="11">
        <f>IFERROR(VLOOKUP(A22&amp;$AJ$2,Data!$A$2:$AM$131,4,FALSE), "")</f>
        <v/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>
        <f>COUNTIF(D22:AH22,"S")</f>
        <v/>
      </c>
      <c r="AM22" s="8">
        <f>COUNTIF(D22:AH22,"I")</f>
        <v/>
      </c>
      <c r="AN22" s="8">
        <f>COUNTIF(D22:AH22,"A")</f>
        <v/>
      </c>
      <c r="AO22" s="8">
        <f>SUM(AL22:AN22)</f>
        <v/>
      </c>
    </row>
    <row r="23" ht="12" customHeight="1" s="35">
      <c r="A23" s="9" t="n">
        <v>17</v>
      </c>
      <c r="B23" s="10">
        <f>IFERROR(VLOOKUP(A23&amp;$AJ$2,Data!$A$2:$AM$131,3,FALSE), "")</f>
        <v/>
      </c>
      <c r="C23" s="11">
        <f>IFERROR(VLOOKUP(A23&amp;$AJ$2,Data!$A$2:$AM$131,4,FALSE), "")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>
        <f>COUNTIF(D23:AH23,"S")</f>
        <v/>
      </c>
      <c r="AM23" s="8">
        <f>COUNTIF(D23:AH23,"I")</f>
        <v/>
      </c>
      <c r="AN23" s="8">
        <f>COUNTIF(D23:AH23,"A")</f>
        <v/>
      </c>
      <c r="AO23" s="8">
        <f>SUM(AL23:AN23)</f>
        <v/>
      </c>
    </row>
    <row r="24" ht="12" customHeight="1" s="35">
      <c r="A24" s="9" t="n">
        <v>18</v>
      </c>
      <c r="B24" s="10">
        <f>IFERROR(VLOOKUP(A24&amp;$AJ$2,Data!$A$2:$AM$131,3,FALSE), "")</f>
        <v/>
      </c>
      <c r="C24" s="11">
        <f>IFERROR(VLOOKUP(A24&amp;$AJ$2,Data!$A$2:$AM$131,4,FALSE), "")</f>
        <v/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>
        <f>COUNTIF(D24:AH24,"S")</f>
        <v/>
      </c>
      <c r="AM24" s="8">
        <f>COUNTIF(D24:AH24,"I")</f>
        <v/>
      </c>
      <c r="AN24" s="8">
        <f>COUNTIF(D24:AH24,"A")</f>
        <v/>
      </c>
      <c r="AO24" s="8">
        <f>SUM(AL24:AN24)</f>
        <v/>
      </c>
    </row>
    <row r="25" ht="12" customHeight="1" s="35">
      <c r="A25" s="9" t="n">
        <v>19</v>
      </c>
      <c r="B25" s="10">
        <f>IFERROR(VLOOKUP(A25&amp;$AJ$2,Data!$A$2:$AM$131,3,FALSE), "")</f>
        <v/>
      </c>
      <c r="C25" s="11">
        <f>IFERROR(VLOOKUP(A25&amp;$AJ$2,Data!$A$2:$AM$131,4,FALSE), "")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>
        <f>COUNTIF(D25:AH25,"S")</f>
        <v/>
      </c>
      <c r="AM25" s="8">
        <f>COUNTIF(D25:AH25,"I")</f>
        <v/>
      </c>
      <c r="AN25" s="8">
        <f>COUNTIF(D25:AH25,"A")</f>
        <v/>
      </c>
      <c r="AO25" s="8">
        <f>SUM(AL25:AN25)</f>
        <v/>
      </c>
    </row>
    <row r="26" ht="12" customHeight="1" s="35">
      <c r="A26" s="9" t="n">
        <v>20</v>
      </c>
      <c r="B26" s="10">
        <f>IFERROR(VLOOKUP(A26&amp;$AJ$2,Data!$A$2:$AM$131,3,FALSE), "")</f>
        <v/>
      </c>
      <c r="C26" s="11">
        <f>IFERROR(VLOOKUP(A26&amp;$AJ$2,Data!$A$2:$AM$131,4,FALSE), "")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>
        <f>COUNTIF(D26:AH26,"S")</f>
        <v/>
      </c>
      <c r="AM26" s="8">
        <f>COUNTIF(D26:AH26,"I")</f>
        <v/>
      </c>
      <c r="AN26" s="8">
        <f>COUNTIF(D26:AH26,"A")</f>
        <v/>
      </c>
      <c r="AO26" s="8">
        <f>SUM(AL26:AN26)</f>
        <v/>
      </c>
    </row>
    <row r="27" ht="12" customHeight="1" s="35">
      <c r="A27" s="9" t="n">
        <v>21</v>
      </c>
      <c r="B27" s="10">
        <f>IFERROR(VLOOKUP(A27&amp;$AJ$2,Data!$A$2:$AM$131,3,FALSE), "")</f>
        <v/>
      </c>
      <c r="C27" s="11">
        <f>IFERROR(VLOOKUP(A27&amp;$AJ$2,Data!$A$2:$AM$131,4,FALSE), "")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>
        <f>COUNTIF(D27:AH27,"S")</f>
        <v/>
      </c>
      <c r="AM27" s="8">
        <f>COUNTIF(D27:AH27,"I")</f>
        <v/>
      </c>
      <c r="AN27" s="8">
        <f>COUNTIF(D27:AH27,"A")</f>
        <v/>
      </c>
      <c r="AO27" s="8">
        <f>SUM(AL27:AN27)</f>
        <v/>
      </c>
    </row>
    <row r="28" ht="12" customHeight="1" s="35">
      <c r="A28" s="9" t="n">
        <v>22</v>
      </c>
      <c r="B28" s="10">
        <f>IFERROR(VLOOKUP(A28&amp;$AJ$2,Data!$A$2:$AM$131,3,FALSE), "")</f>
        <v/>
      </c>
      <c r="C28" s="11">
        <f>IFERROR(VLOOKUP(A28&amp;$AJ$2,Data!$A$2:$AM$131,4,FALSE), "")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>
        <f>COUNTIF(D28:AH28,"S")</f>
        <v/>
      </c>
      <c r="AM28" s="8">
        <f>COUNTIF(D28:AH28,"I")</f>
        <v/>
      </c>
      <c r="AN28" s="8">
        <f>COUNTIF(D28:AH28,"A")</f>
        <v/>
      </c>
      <c r="AO28" s="8">
        <f>SUM(AL28:AN28)</f>
        <v/>
      </c>
    </row>
    <row r="29" ht="12" customHeight="1" s="35">
      <c r="A29" s="9" t="n">
        <v>23</v>
      </c>
      <c r="B29" s="10">
        <f>IFERROR(VLOOKUP(A29&amp;$AJ$2,Data!$A$2:$AM$131,3,FALSE), "")</f>
        <v/>
      </c>
      <c r="C29" s="11">
        <f>IFERROR(VLOOKUP(A29&amp;$AJ$2,Data!$A$2:$AM$131,4,FALSE), "")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>
        <f>COUNTIF(D29:AH29,"S")</f>
        <v/>
      </c>
      <c r="AM29" s="8">
        <f>COUNTIF(D29:AH29,"I")</f>
        <v/>
      </c>
      <c r="AN29" s="8">
        <f>COUNTIF(D29:AH29,"A")</f>
        <v/>
      </c>
      <c r="AO29" s="8">
        <f>SUM(AL29:AN29)</f>
        <v/>
      </c>
    </row>
    <row r="30" ht="12" customHeight="1" s="35">
      <c r="A30" s="9" t="n">
        <v>24</v>
      </c>
      <c r="B30" s="10">
        <f>IFERROR(VLOOKUP(A30&amp;$AJ$2,Data!$A$2:$AM$131,3,FALSE), "")</f>
        <v/>
      </c>
      <c r="C30" s="11">
        <f>IFERROR(VLOOKUP(A30&amp;$AJ$2,Data!$A$2:$AM$131,4,FALSE), "")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>
        <f>COUNTIF(D30:AH30,"S")</f>
        <v/>
      </c>
      <c r="AM30" s="8">
        <f>COUNTIF(D30:AH30,"I")</f>
        <v/>
      </c>
      <c r="AN30" s="8">
        <f>COUNTIF(D30:AH30,"A")</f>
        <v/>
      </c>
      <c r="AO30" s="8">
        <f>SUM(AL30:AN30)</f>
        <v/>
      </c>
    </row>
    <row r="31" ht="12" customHeight="1" s="35">
      <c r="A31" s="9" t="n">
        <v>25</v>
      </c>
      <c r="B31" s="10">
        <f>IFERROR(VLOOKUP(A31&amp;$AJ$2,Data!$A$2:$AM$131,3,FALSE), "")</f>
        <v/>
      </c>
      <c r="C31" s="11">
        <f>IFERROR(VLOOKUP(A31&amp;$AJ$2,Data!$A$2:$AM$131,4,FALSE), "")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>
        <f>COUNTIF(D31:AH31,"S")</f>
        <v/>
      </c>
      <c r="AM31" s="8">
        <f>COUNTIF(D31:AH31,"I")</f>
        <v/>
      </c>
      <c r="AN31" s="8">
        <f>COUNTIF(D31:AH31,"A")</f>
        <v/>
      </c>
      <c r="AO31" s="8">
        <f>SUM(AL31:AN31)</f>
        <v/>
      </c>
    </row>
    <row r="32" ht="12" customHeight="1" s="35">
      <c r="A32" s="9" t="n">
        <v>26</v>
      </c>
      <c r="B32" s="10">
        <f>IFERROR(VLOOKUP(A32&amp;$AJ$2,Data!$A$2:$AM$131,3,FALSE), "")</f>
        <v/>
      </c>
      <c r="C32" s="11">
        <f>IFERROR(VLOOKUP(A32&amp;$AJ$2,Data!$A$2:$AM$131,4,FALSE), "")</f>
        <v/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>
        <f>COUNTIF(D32:AH32,"S")</f>
        <v/>
      </c>
      <c r="AM32" s="8">
        <f>COUNTIF(D32:AH32,"I")</f>
        <v/>
      </c>
      <c r="AN32" s="8">
        <f>COUNTIF(D32:AH32,"A")</f>
        <v/>
      </c>
      <c r="AO32" s="8">
        <f>SUM(AL32:AN32)</f>
        <v/>
      </c>
    </row>
    <row r="33" ht="12" customHeight="1" s="35">
      <c r="A33" s="9" t="n">
        <v>27</v>
      </c>
      <c r="B33" s="10">
        <f>IFERROR(VLOOKUP(A33&amp;$AJ$2,Data!$A$2:$AM$131,3,FALSE), "")</f>
        <v/>
      </c>
      <c r="C33" s="11">
        <f>IFERROR(VLOOKUP(A33&amp;$AJ$2,Data!$A$2:$AM$131,4,FALSE), "")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>
        <f>COUNTIF(D33:AH33,"S")</f>
        <v/>
      </c>
      <c r="AM33" s="8">
        <f>COUNTIF(D33:AH33,"I")</f>
        <v/>
      </c>
      <c r="AN33" s="8">
        <f>COUNTIF(D33:AH33,"A")</f>
        <v/>
      </c>
      <c r="AO33" s="8">
        <f>SUM(AL33:AN33)</f>
        <v/>
      </c>
    </row>
    <row r="34" ht="12" customHeight="1" s="35">
      <c r="A34" s="9" t="n">
        <v>28</v>
      </c>
      <c r="B34" s="10">
        <f>IFERROR(VLOOKUP(A34&amp;$AJ$2,Data!$A$2:$AM$131,3,FALSE), "")</f>
        <v/>
      </c>
      <c r="C34" s="11">
        <f>IFERROR(VLOOKUP(A34&amp;$AJ$2,Data!$A$2:$AM$131,4,FALSE), "")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>
        <f>COUNTIF(D34:AH34,"S")</f>
        <v/>
      </c>
      <c r="AM34" s="8">
        <f>COUNTIF(D34:AH34,"I")</f>
        <v/>
      </c>
      <c r="AN34" s="8">
        <f>COUNTIF(D34:AH34,"A")</f>
        <v/>
      </c>
      <c r="AO34" s="8">
        <f>SUM(AL34:AN34)</f>
        <v/>
      </c>
    </row>
    <row r="35" ht="12" customHeight="1" s="35">
      <c r="A35" s="9" t="n">
        <v>29</v>
      </c>
      <c r="B35" s="10">
        <f>IFERROR(VLOOKUP(A35&amp;$AJ$2,Data!$A$2:$AM$131,3,FALSE), "")</f>
        <v/>
      </c>
      <c r="C35" s="11">
        <f>IFERROR(VLOOKUP(A35&amp;$AJ$2,Data!$A$2:$AM$131,4,FALSE), "")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>
        <f>COUNTIF(D35:AH35,"S")</f>
        <v/>
      </c>
      <c r="AM35" s="8">
        <f>COUNTIF(D35:AH35,"I")</f>
        <v/>
      </c>
      <c r="AN35" s="8">
        <f>COUNTIF(D35:AH35,"A")</f>
        <v/>
      </c>
      <c r="AO35" s="8">
        <f>SUM(AL35:AN35)</f>
        <v/>
      </c>
    </row>
    <row r="36" ht="12" customHeight="1" s="35">
      <c r="A36" s="9" t="n">
        <v>30</v>
      </c>
      <c r="B36" s="10">
        <f>IFERROR(VLOOKUP(A36&amp;$AJ$2,Data!$A$2:$AM$131,3,FALSE), "")</f>
        <v/>
      </c>
      <c r="C36" s="11">
        <f>IFERROR(VLOOKUP(A36&amp;$AJ$2,Data!$A$2:$AM$131,4,FALSE), "")</f>
        <v/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>
        <f>COUNTIF(D36:AH36,"S")</f>
        <v/>
      </c>
      <c r="AM36" s="8">
        <f>COUNTIF(D36:AH36,"I")</f>
        <v/>
      </c>
      <c r="AN36" s="8">
        <f>COUNTIF(D36:AH36,"A")</f>
        <v/>
      </c>
      <c r="AO36" s="8">
        <f>SUM(AL36:AN36)</f>
        <v/>
      </c>
    </row>
    <row r="37" ht="12" customHeight="1" s="35">
      <c r="A37" s="9" t="n">
        <v>31</v>
      </c>
      <c r="B37" s="10">
        <f>IFERROR(VLOOKUP(A37&amp;$AJ$2,Data!$A$2:$AM$131,3,FALSE), "")</f>
        <v/>
      </c>
      <c r="C37" s="11">
        <f>IFERROR(VLOOKUP(A37&amp;$AJ$2,Data!$A$2:$AM$131,4,FALSE), "")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>
        <f>COUNTIF(D37:AH37,"S")</f>
        <v/>
      </c>
      <c r="AM37" s="8">
        <f>COUNTIF(D37:AH37,"I")</f>
        <v/>
      </c>
      <c r="AN37" s="8">
        <f>COUNTIF(D37:AH37,"A")</f>
        <v/>
      </c>
      <c r="AO37" s="8">
        <f>SUM(AL37:AN37)</f>
        <v/>
      </c>
    </row>
    <row r="38" ht="12" customHeight="1" s="35">
      <c r="A38" s="9" t="n">
        <v>32</v>
      </c>
      <c r="B38" s="10">
        <f>IFERROR(VLOOKUP(A38&amp;$AJ$2,Data!$A$2:$AM$131,3,FALSE), "")</f>
        <v/>
      </c>
      <c r="C38" s="11">
        <f>IFERROR(VLOOKUP(A38&amp;$AJ$2,Data!$A$2:$AM$131,4,FALSE), "")</f>
        <v/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>
        <f>COUNTIF(D38:AH38,"S")</f>
        <v/>
      </c>
      <c r="AM38" s="8">
        <f>COUNTIF(D38:AH38,"I")</f>
        <v/>
      </c>
      <c r="AN38" s="8">
        <f>COUNTIF(D38:AH38,"A")</f>
        <v/>
      </c>
      <c r="AO38" s="8">
        <f>SUM(AL38:AN38)</f>
        <v/>
      </c>
    </row>
    <row r="39" ht="12" customHeight="1" s="35">
      <c r="A39" s="9" t="n">
        <v>33</v>
      </c>
      <c r="B39" s="10">
        <f>IFERROR(VLOOKUP(A39&amp;$AJ$2,Data!$A$2:$AM$131,3,FALSE), "")</f>
        <v/>
      </c>
      <c r="C39" s="11">
        <f>IFERROR(VLOOKUP(A39&amp;$AJ$2,Data!$A$2:$AM$131,4,FALSE), "")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>
        <f>COUNTIF(D39:AH39,"S")</f>
        <v/>
      </c>
      <c r="AM39" s="8">
        <f>COUNTIF(D39:AH39,"I")</f>
        <v/>
      </c>
      <c r="AN39" s="8">
        <f>COUNTIF(D39:AH39,"A")</f>
        <v/>
      </c>
      <c r="AO39" s="8">
        <f>SUM(AL39:AN39)</f>
        <v/>
      </c>
    </row>
    <row r="40" ht="12" customHeight="1" s="35">
      <c r="A40" s="9" t="n">
        <v>34</v>
      </c>
      <c r="B40" s="10">
        <f>IFERROR(VLOOKUP(A40&amp;$AJ$2,Data!$A$2:$AM$131,3,FALSE), "")</f>
        <v/>
      </c>
      <c r="C40" s="11">
        <f>IFERROR(VLOOKUP(A40&amp;$AJ$2,Data!$A$2:$AM$131,4,FALSE), "")</f>
        <v/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>
        <f>COUNTIF(D40:AH40,"S")</f>
        <v/>
      </c>
      <c r="AM40" s="8">
        <f>COUNTIF(D40:AH40,"I")</f>
        <v/>
      </c>
      <c r="AN40" s="8">
        <f>COUNTIF(D40:AH40,"A")</f>
        <v/>
      </c>
      <c r="AO40" s="8">
        <f>SUM(AL40:AN40)</f>
        <v/>
      </c>
    </row>
    <row r="41" ht="12" customHeight="1" s="35">
      <c r="A41" s="9" t="n">
        <v>35</v>
      </c>
      <c r="B41" s="10">
        <f>IFERROR(VLOOKUP(A41&amp;$AJ$2,Data!$A$2:$AM$131,3,FALSE), "")</f>
        <v/>
      </c>
      <c r="C41" s="11">
        <f>IFERROR(VLOOKUP(A41&amp;$AJ$2,Data!$A$2:$AM$131,4,FALSE), "")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>
        <f>COUNTIF(D41:AH41,"S")</f>
        <v/>
      </c>
      <c r="AM41" s="8">
        <f>COUNTIF(D41:AH41,"I")</f>
        <v/>
      </c>
      <c r="AN41" s="8">
        <f>COUNTIF(D41:AH41,"A")</f>
        <v/>
      </c>
      <c r="AO41" s="8">
        <f>SUM(AL41:AN41)</f>
        <v/>
      </c>
    </row>
    <row r="42" ht="12" customHeight="1" s="35">
      <c r="A42" s="9" t="n">
        <v>36</v>
      </c>
      <c r="B42" s="10">
        <f>IFERROR(VLOOKUP(A42&amp;$AJ$2,Data!$A$2:$AM$131,3,FALSE), "")</f>
        <v/>
      </c>
      <c r="C42" s="11">
        <f>IFERROR(VLOOKUP(A42&amp;$AJ$2,Data!$A$2:$AM$131,4,FALSE), "")</f>
        <v/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>
        <f>COUNTIF(D42:AH42,"S")</f>
        <v/>
      </c>
      <c r="AM42" s="8">
        <f>COUNTIF(D42:AH42,"I")</f>
        <v/>
      </c>
      <c r="AN42" s="8">
        <f>COUNTIF(D42:AH42,"A")</f>
        <v/>
      </c>
      <c r="AO42" s="8">
        <f>SUM(AL42:AN42)</f>
        <v/>
      </c>
    </row>
    <row r="43" ht="14.25" customHeight="1" s="35">
      <c r="A43" s="9" t="n">
        <v>37</v>
      </c>
      <c r="B43" s="10">
        <f>IFERROR(VLOOKUP(A43&amp;$AJ$2,Data!$A$2:$AM$131,3,FALSE), "")</f>
        <v/>
      </c>
      <c r="C43" s="11">
        <f>IFERROR(VLOOKUP(A43&amp;$AJ$2,Data!$A$2:$AM$131,4,FALSE), "")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>
        <f>COUNTIF(D43:AH43,"S")</f>
        <v/>
      </c>
      <c r="AM43" s="8">
        <f>COUNTIF(D43:AH43,"I")</f>
        <v/>
      </c>
      <c r="AN43" s="8">
        <f>COUNTIF(D43:AH43,"A")</f>
        <v/>
      </c>
      <c r="AO43" s="8">
        <f>SUM(AL43:AN43)</f>
        <v/>
      </c>
    </row>
    <row r="44" ht="14.25" customHeight="1" s="35">
      <c r="A44" s="9" t="n">
        <v>38</v>
      </c>
      <c r="B44" s="10">
        <f>IFERROR(VLOOKUP(A44&amp;$AJ$2,Data!$A$2:$AM$131,3,FALSE), "")</f>
        <v/>
      </c>
      <c r="C44" s="11">
        <f>IFERROR(VLOOKUP(A44&amp;$AJ$2,Data!$A$2:$AM$131,4,FALSE), "")</f>
        <v/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>
        <f>COUNTIF(D44:AH44,"S")</f>
        <v/>
      </c>
      <c r="AM44" s="8">
        <f>COUNTIF(D44:AH44,"I")</f>
        <v/>
      </c>
      <c r="AN44" s="8">
        <f>COUNTIF(D44:AH44,"A")</f>
        <v/>
      </c>
      <c r="AO44" s="8">
        <f>SUM(AL44:AN44)</f>
        <v/>
      </c>
    </row>
    <row r="45" ht="14.25" customHeight="1" s="35">
      <c r="A45" s="9" t="n">
        <v>39</v>
      </c>
      <c r="B45" s="10">
        <f>IFERROR(VLOOKUP(A45&amp;$AJ$2,Data!$A$2:$AM$131,3,FALSE), "")</f>
        <v/>
      </c>
      <c r="C45" s="11">
        <f>IFERROR(VLOOKUP(A45&amp;$AJ$2,Data!$A$2:$AM$131,4,FALSE), "")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>
        <f>COUNTIF(D45:AH45,"S")</f>
        <v/>
      </c>
      <c r="AM45" s="8">
        <f>COUNTIF(D45:AH45,"I")</f>
        <v/>
      </c>
      <c r="AN45" s="8">
        <f>COUNTIF(D45:AH45,"A")</f>
        <v/>
      </c>
      <c r="AO45" s="8">
        <f>SUM(AL45:AN45)</f>
        <v/>
      </c>
    </row>
    <row r="46" ht="14.25" customHeight="1" s="35">
      <c r="A46" s="9" t="n">
        <v>40</v>
      </c>
      <c r="B46" s="10">
        <f>IFERROR(VLOOKUP(A46&amp;$AJ$2,Data!$A$2:$AM$131,3,FALSE), "")</f>
        <v/>
      </c>
      <c r="C46" s="11">
        <f>IFERROR(VLOOKUP(A46&amp;$AJ$2,Data!$A$2:$AM$131,4,FALSE), "")</f>
        <v/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>
        <f>COUNTIF(D46:AH46,"S")</f>
        <v/>
      </c>
      <c r="AM46" s="8">
        <f>COUNTIF(D46:AH46,"I")</f>
        <v/>
      </c>
      <c r="AN46" s="8">
        <f>COUNTIF(D46:AH46,"A")</f>
        <v/>
      </c>
      <c r="AO46" s="8">
        <f>SUM(AL46:AN46)</f>
        <v/>
      </c>
    </row>
    <row r="47" ht="14.25" customHeight="1" s="35"/>
    <row r="48" ht="14.25" customHeight="1" s="35">
      <c r="C48" s="3" t="inlineStr">
        <is>
          <t>S</t>
        </is>
      </c>
      <c r="E48" s="15">
        <f>COUNTIF(E7:E46,"S")</f>
        <v/>
      </c>
      <c r="F48" s="15">
        <f>COUNTIF(F7:F46,"S")</f>
        <v/>
      </c>
      <c r="G48" s="15">
        <f>COUNTIF(G7:G46,"S")</f>
        <v/>
      </c>
      <c r="H48" s="15">
        <f>COUNTIF(H7:H46,"S")</f>
        <v/>
      </c>
      <c r="I48" s="15">
        <f>COUNTIF(I7:I46,"S")</f>
        <v/>
      </c>
      <c r="J48" s="15">
        <f>COUNTIF(J7:J46,"S")</f>
        <v/>
      </c>
      <c r="K48" s="15">
        <f>COUNTIF(K7:K46,"S")</f>
        <v/>
      </c>
      <c r="L48" s="15">
        <f>COUNTIF(L7:L46,"S")</f>
        <v/>
      </c>
      <c r="M48" s="15">
        <f>COUNTIF(M7:M46,"S")</f>
        <v/>
      </c>
      <c r="N48" s="15">
        <f>COUNTIF(N7:N46,"S")</f>
        <v/>
      </c>
      <c r="O48" s="15">
        <f>COUNTIF(O7:O46,"S")</f>
        <v/>
      </c>
      <c r="P48" s="15">
        <f>COUNTIF(P7:P46,"S")</f>
        <v/>
      </c>
      <c r="Q48" s="15">
        <f>COUNTIF(Q7:Q46,"S")</f>
        <v/>
      </c>
      <c r="R48" s="15">
        <f>COUNTIF(R7:R46,"S")</f>
        <v/>
      </c>
      <c r="S48" s="15">
        <f>COUNTIF(S7:S46,"S")</f>
        <v/>
      </c>
      <c r="T48" s="15">
        <f>COUNTIF(T7:T46,"S")</f>
        <v/>
      </c>
      <c r="U48" s="15">
        <f>COUNTIF(U7:U46,"S")</f>
        <v/>
      </c>
      <c r="V48" s="15">
        <f>COUNTIF(V7:V46,"S")</f>
        <v/>
      </c>
      <c r="W48" s="15">
        <f>COUNTIF(W7:W46,"S")</f>
        <v/>
      </c>
      <c r="X48" s="15">
        <f>COUNTIF(X7:X46,"S")</f>
        <v/>
      </c>
      <c r="Y48" s="15">
        <f>COUNTIF(Y7:Y46,"S")</f>
        <v/>
      </c>
      <c r="Z48" s="15">
        <f>COUNTIF(Z7:Z46,"S")</f>
        <v/>
      </c>
      <c r="AA48" s="15">
        <f>COUNTIF(AA7:AA46,"S")</f>
        <v/>
      </c>
      <c r="AB48" s="15">
        <f>COUNTIF(AB7:AB46,"S")</f>
        <v/>
      </c>
      <c r="AC48" s="15">
        <f>COUNTIF(AC7:AC46,"S")</f>
        <v/>
      </c>
      <c r="AD48" s="15">
        <f>COUNTIF(AD7:AD46,"S")</f>
        <v/>
      </c>
      <c r="AE48" s="15">
        <f>COUNTIF(AE7:AE46,"S")</f>
        <v/>
      </c>
      <c r="AF48" s="15">
        <f>COUNTIF(AF7:AF46,"S")</f>
        <v/>
      </c>
      <c r="AG48" s="15">
        <f>COUNTIF(AG7:AG46,"S")</f>
        <v/>
      </c>
      <c r="AH48" s="15">
        <f>COUNTIF(AH7:AH46,"S")</f>
        <v/>
      </c>
      <c r="AI48" s="15" t="n"/>
    </row>
    <row r="49" ht="14.25" customHeight="1" s="35">
      <c r="C49" s="3" t="inlineStr">
        <is>
          <t>I</t>
        </is>
      </c>
      <c r="E49" s="15">
        <f>COUNTIF(E7:E46,"I")</f>
        <v/>
      </c>
      <c r="F49" s="15">
        <f>COUNTIF(F7:F46,"I")</f>
        <v/>
      </c>
      <c r="G49" s="15">
        <f>COUNTIF(G7:G46,"I")</f>
        <v/>
      </c>
      <c r="H49" s="15">
        <f>COUNTIF(H7:H46,"I")</f>
        <v/>
      </c>
      <c r="I49" s="15">
        <f>COUNTIF(I7:I46,"I")</f>
        <v/>
      </c>
      <c r="J49" s="15">
        <f>COUNTIF(J7:J46,"I")</f>
        <v/>
      </c>
      <c r="K49" s="15">
        <f>COUNTIF(K7:K46,"I")</f>
        <v/>
      </c>
      <c r="L49" s="15">
        <f>COUNTIF(L7:L46,"I")</f>
        <v/>
      </c>
      <c r="M49" s="15">
        <f>COUNTIF(M7:M46,"I")</f>
        <v/>
      </c>
      <c r="N49" s="15">
        <f>COUNTIF(N7:N46,"I")</f>
        <v/>
      </c>
      <c r="O49" s="15">
        <f>COUNTIF(O7:O46,"I")</f>
        <v/>
      </c>
      <c r="P49" s="15">
        <f>COUNTIF(P7:P46,"I")</f>
        <v/>
      </c>
      <c r="Q49" s="15">
        <f>COUNTIF(Q7:Q46,"I")</f>
        <v/>
      </c>
      <c r="R49" s="15">
        <f>COUNTIF(R7:R46,"I")</f>
        <v/>
      </c>
      <c r="S49" s="15">
        <f>COUNTIF(S7:S46,"I")</f>
        <v/>
      </c>
      <c r="T49" s="15">
        <f>COUNTIF(T7:T46,"I")</f>
        <v/>
      </c>
      <c r="U49" s="15">
        <f>COUNTIF(U7:U46,"I")</f>
        <v/>
      </c>
      <c r="V49" s="15">
        <f>COUNTIF(V7:V46,"I")</f>
        <v/>
      </c>
      <c r="W49" s="15">
        <f>COUNTIF(W7:W46,"I")</f>
        <v/>
      </c>
      <c r="X49" s="15">
        <f>COUNTIF(X7:X46,"I")</f>
        <v/>
      </c>
      <c r="Y49" s="15">
        <f>COUNTIF(Y7:Y46,"I")</f>
        <v/>
      </c>
      <c r="Z49" s="15">
        <f>COUNTIF(Z7:Z46,"I")</f>
        <v/>
      </c>
      <c r="AA49" s="15">
        <f>COUNTIF(AA7:AA46,"I")</f>
        <v/>
      </c>
      <c r="AB49" s="15">
        <f>COUNTIF(AB7:AB46,"I")</f>
        <v/>
      </c>
      <c r="AC49" s="15">
        <f>COUNTIF(AC7:AC46,"I")</f>
        <v/>
      </c>
      <c r="AD49" s="15">
        <f>COUNTIF(AD7:AD46,"I")</f>
        <v/>
      </c>
      <c r="AE49" s="15">
        <f>COUNTIF(AE7:AE46,"I")</f>
        <v/>
      </c>
      <c r="AF49" s="15">
        <f>COUNTIF(AF7:AF46,"I")</f>
        <v/>
      </c>
      <c r="AG49" s="15">
        <f>COUNTIF(AG7:AG46,"I")</f>
        <v/>
      </c>
      <c r="AH49" s="15">
        <f>COUNTIF(AH7:AH46,"I")</f>
        <v/>
      </c>
      <c r="AI49" s="15" t="n"/>
    </row>
    <row r="50" ht="14.25" customHeight="1" s="35">
      <c r="C50" s="3" t="inlineStr">
        <is>
          <t>A</t>
        </is>
      </c>
      <c r="E50" s="15">
        <f>COUNTIF(E7:E46,"A")</f>
        <v/>
      </c>
      <c r="F50" s="15">
        <f>COUNTIF(F7:F46,"A")</f>
        <v/>
      </c>
      <c r="G50" s="15">
        <f>COUNTIF(G7:G46,"A")</f>
        <v/>
      </c>
      <c r="H50" s="15">
        <f>COUNTIF(H7:H46,"A")</f>
        <v/>
      </c>
      <c r="I50" s="15">
        <f>COUNTIF(I7:I46,"A")</f>
        <v/>
      </c>
      <c r="J50" s="15">
        <f>COUNTIF(J7:J46,"A")</f>
        <v/>
      </c>
      <c r="K50" s="15">
        <f>COUNTIF(K7:K46,"A")</f>
        <v/>
      </c>
      <c r="L50" s="15">
        <f>COUNTIF(L7:L46,"A")</f>
        <v/>
      </c>
      <c r="M50" s="15">
        <f>COUNTIF(M7:M46,"A")</f>
        <v/>
      </c>
      <c r="N50" s="15">
        <f>COUNTIF(N7:N46,"A")</f>
        <v/>
      </c>
      <c r="O50" s="15">
        <f>COUNTIF(O7:O46,"A")</f>
        <v/>
      </c>
      <c r="P50" s="15">
        <f>COUNTIF(P7:P46,"A")</f>
        <v/>
      </c>
      <c r="Q50" s="15">
        <f>COUNTIF(Q7:Q46,"A")</f>
        <v/>
      </c>
      <c r="R50" s="15">
        <f>COUNTIF(R7:R46,"A")</f>
        <v/>
      </c>
      <c r="S50" s="15">
        <f>COUNTIF(S7:S46,"A")</f>
        <v/>
      </c>
      <c r="T50" s="15">
        <f>COUNTIF(T7:T46,"A")</f>
        <v/>
      </c>
      <c r="U50" s="15">
        <f>COUNTIF(U7:U46,"A")</f>
        <v/>
      </c>
      <c r="V50" s="15">
        <f>COUNTIF(V7:V46,"A")</f>
        <v/>
      </c>
      <c r="W50" s="15">
        <f>COUNTIF(W7:W46,"A")</f>
        <v/>
      </c>
      <c r="X50" s="15">
        <f>COUNTIF(X7:X46,"A")</f>
        <v/>
      </c>
      <c r="Y50" s="15">
        <f>COUNTIF(Y7:Y46,"A")</f>
        <v/>
      </c>
      <c r="Z50" s="15">
        <f>COUNTIF(Z7:Z46,"A")</f>
        <v/>
      </c>
      <c r="AA50" s="15">
        <f>COUNTIF(AA7:AA46,"A")</f>
        <v/>
      </c>
      <c r="AB50" s="15">
        <f>COUNTIF(AB7:AB46,"A")</f>
        <v/>
      </c>
      <c r="AC50" s="15">
        <f>COUNTIF(AC7:AC46,"A")</f>
        <v/>
      </c>
      <c r="AD50" s="15">
        <f>COUNTIF(AD7:AD46,"A")</f>
        <v/>
      </c>
      <c r="AE50" s="15">
        <f>COUNTIF(AE7:AE46,"A")</f>
        <v/>
      </c>
      <c r="AF50" s="15">
        <f>COUNTIF(AF7:AF46,"A")</f>
        <v/>
      </c>
      <c r="AG50" s="15">
        <f>COUNTIF(AG7:AG46,"A")</f>
        <v/>
      </c>
      <c r="AH50" s="15">
        <f>COUNTIF(AH7:AH46,"A")</f>
        <v/>
      </c>
      <c r="AI50" s="15" t="n"/>
    </row>
    <row r="51" ht="14.25" customHeight="1" s="35"/>
    <row r="52" ht="14.25" customHeight="1" s="35"/>
    <row r="53" ht="14.25" customHeight="1" s="35"/>
    <row r="54" ht="14.25" customHeight="1" s="35"/>
    <row r="55" ht="14.25" customHeight="1" s="35"/>
    <row r="56" ht="14.25" customHeight="1" s="35"/>
    <row r="57" ht="14.25" customHeight="1" s="35"/>
    <row r="58" ht="14.25" customHeight="1" s="35"/>
    <row r="59" ht="14.25" customHeight="1" s="35"/>
    <row r="60" ht="14.25" customHeight="1" s="35"/>
    <row r="61" ht="14.25" customHeight="1" s="35"/>
    <row r="62" ht="14.25" customHeight="1" s="35"/>
    <row r="63" ht="14.25" customHeight="1" s="35"/>
    <row r="64" ht="14.25" customHeight="1" s="35"/>
    <row r="65" ht="14.25" customHeight="1" s="35"/>
    <row r="66" ht="14.25" customHeight="1" s="35"/>
    <row r="67" ht="14.25" customHeight="1" s="35"/>
    <row r="68" ht="14.25" customHeight="1" s="35"/>
    <row r="69" ht="14.25" customHeight="1" s="35"/>
    <row r="70" ht="14.25" customHeight="1" s="35"/>
    <row r="71" ht="14.25" customHeight="1" s="35"/>
    <row r="72" ht="14.25" customHeight="1" s="35"/>
    <row r="73" ht="14.25" customHeight="1" s="35"/>
    <row r="74" ht="14.25" customHeight="1" s="35"/>
    <row r="75" ht="14.25" customHeight="1" s="35"/>
    <row r="76" ht="14.25" customHeight="1" s="35"/>
    <row r="77" ht="14.25" customHeight="1" s="35"/>
    <row r="78" ht="14.25" customHeight="1" s="35"/>
    <row r="79" ht="14.25" customHeight="1" s="35"/>
    <row r="80" ht="14.25" customHeight="1" s="35"/>
    <row r="81" ht="14.25" customHeight="1" s="35"/>
    <row r="82" ht="14.25" customHeight="1" s="35"/>
    <row r="83" ht="14.25" customHeight="1" s="35"/>
    <row r="84" ht="14.25" customHeight="1" s="35"/>
    <row r="85" ht="14.25" customHeight="1" s="35"/>
    <row r="86" ht="14.25" customHeight="1" s="35"/>
    <row r="87" ht="14.25" customHeight="1" s="35"/>
    <row r="88" ht="14.25" customHeight="1" s="35"/>
    <row r="89" ht="14.25" customHeight="1" s="35"/>
    <row r="90" ht="14.25" customHeight="1" s="35"/>
    <row r="91" ht="14.25" customHeight="1" s="35"/>
    <row r="92" ht="14.25" customHeight="1" s="35"/>
    <row r="93" ht="14.25" customHeight="1" s="35"/>
    <row r="94" ht="14.25" customHeight="1" s="35"/>
    <row r="95" ht="14.25" customHeight="1" s="35"/>
    <row r="96" ht="14.25" customHeight="1" s="35"/>
    <row r="97" ht="14.25" customHeight="1" s="35"/>
    <row r="98" ht="14.25" customHeight="1" s="35"/>
    <row r="99" ht="14.25" customHeight="1" s="35"/>
    <row r="100" ht="14.25" customHeight="1" s="35"/>
    <row r="101" ht="14.25" customHeight="1" s="35"/>
    <row r="102" ht="14.25" customHeight="1" s="35"/>
    <row r="103" ht="14.25" customHeight="1" s="35"/>
    <row r="104" ht="14.25" customHeight="1" s="35"/>
    <row r="105" ht="14.25" customHeight="1" s="35"/>
    <row r="106" ht="14.25" customHeight="1" s="35"/>
    <row r="107" ht="14.25" customHeight="1" s="35"/>
    <row r="108" ht="14.25" customHeight="1" s="35"/>
    <row r="109" ht="14.25" customHeight="1" s="35"/>
    <row r="110" ht="14.25" customHeight="1" s="35"/>
    <row r="111" ht="14.25" customHeight="1" s="35"/>
    <row r="112" ht="14.25" customHeight="1" s="35"/>
    <row r="113" ht="14.25" customHeight="1" s="35"/>
    <row r="114" ht="14.25" customHeight="1" s="35"/>
    <row r="115" ht="14.25" customHeight="1" s="35"/>
    <row r="116" ht="14.25" customHeight="1" s="35"/>
    <row r="117" ht="14.25" customHeight="1" s="35"/>
    <row r="118" ht="14.25" customHeight="1" s="35"/>
    <row r="119" ht="14.25" customHeight="1" s="35"/>
    <row r="120" ht="14.25" customHeight="1" s="35"/>
    <row r="121" ht="14.25" customHeight="1" s="35"/>
    <row r="122" ht="14.25" customHeight="1" s="35"/>
    <row r="123" ht="14.25" customHeight="1" s="35"/>
    <row r="124" ht="14.25" customHeight="1" s="35"/>
    <row r="125" ht="14.25" customHeight="1" s="35"/>
    <row r="126" ht="14.25" customHeight="1" s="35"/>
    <row r="127" ht="14.25" customHeight="1" s="35"/>
    <row r="128" ht="14.25" customHeight="1" s="35"/>
    <row r="129" ht="14.25" customHeight="1" s="35"/>
    <row r="130" ht="14.25" customHeight="1" s="35"/>
    <row r="131" ht="14.25" customHeight="1" s="35"/>
    <row r="132" ht="14.25" customHeight="1" s="35"/>
    <row r="133" ht="14.25" customHeight="1" s="35"/>
    <row r="134" ht="14.25" customHeight="1" s="35"/>
    <row r="135" ht="14.25" customHeight="1" s="35"/>
    <row r="136" ht="14.25" customHeight="1" s="35"/>
    <row r="137" ht="14.25" customHeight="1" s="35"/>
    <row r="138" ht="14.25" customHeight="1" s="35"/>
    <row r="139" ht="14.25" customHeight="1" s="35"/>
    <row r="140" ht="14.25" customHeight="1" s="35"/>
    <row r="141" ht="14.25" customHeight="1" s="35"/>
    <row r="142" ht="14.25" customHeight="1" s="35"/>
    <row r="143" ht="14.25" customHeight="1" s="35"/>
    <row r="144" ht="14.25" customHeight="1" s="35"/>
    <row r="145" ht="14.25" customHeight="1" s="35"/>
    <row r="146" ht="14.25" customHeight="1" s="35"/>
    <row r="147" ht="14.25" customHeight="1" s="35"/>
    <row r="148" ht="14.25" customHeight="1" s="35"/>
    <row r="149" ht="14.25" customHeight="1" s="35"/>
    <row r="150" ht="14.25" customHeight="1" s="35"/>
    <row r="151" ht="14.25" customHeight="1" s="35"/>
    <row r="152" ht="14.25" customHeight="1" s="35"/>
    <row r="153" ht="14.25" customHeight="1" s="35"/>
    <row r="154" ht="14.25" customHeight="1" s="35"/>
    <row r="155" ht="14.25" customHeight="1" s="35"/>
    <row r="156" ht="14.25" customHeight="1" s="35"/>
    <row r="157" ht="14.25" customHeight="1" s="35"/>
    <row r="158" ht="14.25" customHeight="1" s="35"/>
    <row r="159" ht="14.25" customHeight="1" s="35"/>
    <row r="160" ht="14.25" customHeight="1" s="35"/>
    <row r="161" ht="14.25" customHeight="1" s="35"/>
    <row r="162" ht="14.25" customHeight="1" s="35"/>
    <row r="163" ht="14.25" customHeight="1" s="35"/>
    <row r="164" ht="14.25" customHeight="1" s="35"/>
    <row r="165" ht="14.25" customHeight="1" s="35"/>
    <row r="166" ht="14.25" customHeight="1" s="35"/>
    <row r="167" ht="14.25" customHeight="1" s="35"/>
    <row r="168" ht="14.25" customHeight="1" s="35"/>
    <row r="169" ht="14.25" customHeight="1" s="35"/>
    <row r="170" ht="14.25" customHeight="1" s="35"/>
    <row r="171" ht="14.25" customHeight="1" s="35"/>
    <row r="172" ht="14.25" customHeight="1" s="35"/>
    <row r="173" ht="14.25" customHeight="1" s="35"/>
    <row r="174" ht="14.25" customHeight="1" s="35"/>
    <row r="175" ht="14.25" customHeight="1" s="35"/>
    <row r="176" ht="14.25" customHeight="1" s="35"/>
    <row r="177" ht="14.25" customHeight="1" s="35"/>
    <row r="178" ht="14.25" customHeight="1" s="35"/>
    <row r="179" ht="14.25" customHeight="1" s="35"/>
    <row r="180" ht="14.25" customHeight="1" s="35"/>
    <row r="181" ht="14.25" customHeight="1" s="35"/>
    <row r="182" ht="14.25" customHeight="1" s="35"/>
    <row r="183" ht="14.25" customHeight="1" s="35"/>
    <row r="184" ht="14.25" customHeight="1" s="35"/>
    <row r="185" ht="14.25" customHeight="1" s="35"/>
    <row r="186" ht="14.25" customHeight="1" s="35"/>
    <row r="187" ht="14.25" customHeight="1" s="35"/>
    <row r="188" ht="14.25" customHeight="1" s="35"/>
    <row r="189" ht="14.25" customHeight="1" s="35"/>
    <row r="190" ht="14.25" customHeight="1" s="35"/>
    <row r="191" ht="14.25" customHeight="1" s="35"/>
    <row r="192" ht="14.25" customHeight="1" s="35"/>
    <row r="193" ht="14.25" customHeight="1" s="35"/>
    <row r="194" ht="14.25" customHeight="1" s="35"/>
    <row r="195" ht="14.25" customHeight="1" s="35"/>
    <row r="196" ht="14.25" customHeight="1" s="35"/>
    <row r="197" ht="14.25" customHeight="1" s="35"/>
    <row r="198" ht="14.25" customHeight="1" s="35"/>
    <row r="199" ht="14.25" customHeight="1" s="35"/>
    <row r="200" ht="14.25" customHeight="1" s="35"/>
    <row r="201" ht="14.25" customHeight="1" s="35"/>
    <row r="202" ht="14.25" customHeight="1" s="35"/>
    <row r="203" ht="14.25" customHeight="1" s="35"/>
    <row r="204" ht="14.25" customHeight="1" s="35"/>
    <row r="205" ht="14.25" customHeight="1" s="35"/>
    <row r="206" ht="14.25" customHeight="1" s="35"/>
    <row r="207" ht="14.25" customHeight="1" s="35"/>
    <row r="208" ht="14.25" customHeight="1" s="35"/>
    <row r="209" ht="14.25" customHeight="1" s="35"/>
    <row r="210" ht="14.25" customHeight="1" s="35"/>
    <row r="211" ht="14.25" customHeight="1" s="35"/>
    <row r="212" ht="14.25" customHeight="1" s="35"/>
    <row r="213" ht="14.25" customHeight="1" s="35"/>
    <row r="214" ht="14.25" customHeight="1" s="35"/>
    <row r="215" ht="14.25" customHeight="1" s="35"/>
    <row r="216" ht="14.25" customHeight="1" s="35"/>
    <row r="217" ht="14.25" customHeight="1" s="35"/>
    <row r="218" ht="14.25" customHeight="1" s="35"/>
    <row r="219" ht="14.25" customHeight="1" s="35"/>
    <row r="220" ht="14.25" customHeight="1" s="35"/>
    <row r="221" ht="14.25" customHeight="1" s="35"/>
    <row r="222" ht="14.25" customHeight="1" s="35"/>
    <row r="223" ht="14.25" customHeight="1" s="35"/>
    <row r="224" ht="14.25" customHeight="1" s="35"/>
    <row r="225" ht="14.25" customHeight="1" s="35"/>
    <row r="226" ht="14.25" customHeight="1" s="35"/>
    <row r="227" ht="14.25" customHeight="1" s="35"/>
    <row r="228" ht="14.25" customHeight="1" s="35"/>
    <row r="229" ht="14.25" customHeight="1" s="35"/>
    <row r="230" ht="14.25" customHeight="1" s="35"/>
    <row r="231" ht="14.25" customHeight="1" s="35"/>
    <row r="232" ht="14.25" customHeight="1" s="35"/>
    <row r="233" ht="14.25" customHeight="1" s="35"/>
    <row r="234" ht="14.25" customHeight="1" s="35"/>
    <row r="235" ht="14.25" customHeight="1" s="35"/>
    <row r="236" ht="14.25" customHeight="1" s="35"/>
    <row r="237" ht="14.25" customHeight="1" s="35"/>
    <row r="238" ht="14.25" customHeight="1" s="35"/>
    <row r="239" ht="14.25" customHeight="1" s="35"/>
    <row r="240" ht="14.25" customHeight="1" s="35"/>
    <row r="241" ht="14.25" customHeight="1" s="35"/>
    <row r="242" ht="14.25" customHeight="1" s="35"/>
    <row r="243" ht="14.25" customHeight="1" s="35"/>
    <row r="244" ht="14.25" customHeight="1" s="35"/>
    <row r="245" ht="14.25" customHeight="1" s="35"/>
    <row r="246" ht="14.25" customHeight="1" s="35"/>
    <row r="247" ht="14.25" customHeight="1" s="35"/>
    <row r="248" ht="14.25" customHeight="1" s="35"/>
    <row r="249" ht="14.25" customHeight="1" s="35"/>
    <row r="250" ht="14.25" customHeight="1" s="35"/>
    <row r="251" ht="14.25" customHeight="1" s="35"/>
    <row r="252" ht="14.25" customHeight="1" s="35"/>
    <row r="253" ht="14.25" customHeight="1" s="35"/>
    <row r="254" ht="14.25" customHeight="1" s="35"/>
    <row r="255" ht="14.25" customHeight="1" s="35"/>
    <row r="256" ht="14.25" customHeight="1" s="35"/>
    <row r="257" ht="14.25" customHeight="1" s="35"/>
    <row r="258" ht="14.25" customHeight="1" s="35"/>
    <row r="259" ht="14.25" customHeight="1" s="35"/>
    <row r="260" ht="14.25" customHeight="1" s="35"/>
    <row r="261" ht="14.25" customHeight="1" s="35"/>
    <row r="262" ht="14.25" customHeight="1" s="35"/>
    <row r="263" ht="14.25" customHeight="1" s="35"/>
    <row r="264" ht="14.25" customHeight="1" s="35"/>
    <row r="265" ht="14.25" customHeight="1" s="35"/>
    <row r="266" ht="14.25" customHeight="1" s="35"/>
    <row r="267" ht="14.25" customHeight="1" s="35"/>
    <row r="268" ht="14.25" customHeight="1" s="35"/>
    <row r="269" ht="14.25" customHeight="1" s="35"/>
    <row r="270" ht="14.25" customHeight="1" s="35"/>
    <row r="271" ht="14.25" customHeight="1" s="35"/>
    <row r="272" ht="14.25" customHeight="1" s="35"/>
    <row r="273" ht="14.25" customHeight="1" s="35"/>
    <row r="274" ht="14.25" customHeight="1" s="35"/>
    <row r="275" ht="14.25" customHeight="1" s="35"/>
    <row r="276" ht="14.25" customHeight="1" s="35"/>
    <row r="277" ht="14.25" customHeight="1" s="35"/>
    <row r="278" ht="14.25" customHeight="1" s="35"/>
    <row r="279" ht="14.25" customHeight="1" s="35"/>
    <row r="280" ht="14.25" customHeight="1" s="35"/>
    <row r="281" ht="14.25" customHeight="1" s="35"/>
    <row r="282" ht="14.25" customHeight="1" s="35"/>
    <row r="283" ht="14.25" customHeight="1" s="35"/>
    <row r="284" ht="14.25" customHeight="1" s="35"/>
    <row r="285" ht="14.25" customHeight="1" s="35"/>
    <row r="286" ht="14.25" customHeight="1" s="35"/>
    <row r="287" ht="14.25" customHeight="1" s="35"/>
    <row r="288" ht="14.25" customHeight="1" s="35"/>
    <row r="289" ht="14.25" customHeight="1" s="35"/>
    <row r="290" ht="14.25" customHeight="1" s="35"/>
    <row r="291" ht="14.25" customHeight="1" s="35"/>
    <row r="292" ht="14.25" customHeight="1" s="35"/>
    <row r="293" ht="14.25" customHeight="1" s="35"/>
    <row r="294" ht="14.25" customHeight="1" s="35"/>
    <row r="295" ht="14.25" customHeight="1" s="35"/>
    <row r="296" ht="14.25" customHeight="1" s="35"/>
    <row r="297" ht="14.25" customHeight="1" s="35"/>
    <row r="298" ht="14.25" customHeight="1" s="35"/>
    <row r="299" ht="14.25" customHeight="1" s="35"/>
    <row r="300" ht="14.25" customHeight="1" s="35"/>
    <row r="301" ht="14.25" customHeight="1" s="35"/>
    <row r="302" ht="14.25" customHeight="1" s="35"/>
    <row r="303" ht="14.25" customHeight="1" s="35"/>
    <row r="304" ht="14.25" customHeight="1" s="35"/>
    <row r="305" ht="14.25" customHeight="1" s="35"/>
    <row r="306" ht="14.25" customHeight="1" s="35"/>
    <row r="307" ht="14.25" customHeight="1" s="35"/>
    <row r="308" ht="14.25" customHeight="1" s="35"/>
    <row r="309" ht="14.25" customHeight="1" s="35"/>
    <row r="310" ht="14.25" customHeight="1" s="35"/>
    <row r="311" ht="14.25" customHeight="1" s="35"/>
    <row r="312" ht="14.25" customHeight="1" s="35"/>
    <row r="313" ht="14.25" customHeight="1" s="35"/>
    <row r="314" ht="14.25" customHeight="1" s="35"/>
    <row r="315" ht="14.25" customHeight="1" s="35"/>
    <row r="316" ht="14.25" customHeight="1" s="35"/>
    <row r="317" ht="14.25" customHeight="1" s="35"/>
    <row r="318" ht="14.25" customHeight="1" s="35"/>
    <row r="319" ht="14.25" customHeight="1" s="35"/>
    <row r="320" ht="14.25" customHeight="1" s="35"/>
    <row r="321" ht="14.25" customHeight="1" s="35"/>
    <row r="322" ht="14.25" customHeight="1" s="35"/>
    <row r="323" ht="14.25" customHeight="1" s="35"/>
    <row r="324" ht="14.25" customHeight="1" s="35"/>
    <row r="325" ht="14.25" customHeight="1" s="35"/>
    <row r="326" ht="14.25" customHeight="1" s="35"/>
    <row r="327" ht="14.25" customHeight="1" s="35"/>
    <row r="328" ht="14.25" customHeight="1" s="35"/>
    <row r="329" ht="14.25" customHeight="1" s="35"/>
    <row r="330" ht="14.25" customHeight="1" s="35"/>
    <row r="331" ht="14.25" customHeight="1" s="35"/>
    <row r="332" ht="14.25" customHeight="1" s="35"/>
    <row r="333" ht="14.25" customHeight="1" s="35"/>
    <row r="334" ht="14.25" customHeight="1" s="35"/>
    <row r="335" ht="14.25" customHeight="1" s="35"/>
    <row r="336" ht="14.25" customHeight="1" s="35"/>
    <row r="337" ht="14.25" customHeight="1" s="35"/>
    <row r="338" ht="14.25" customHeight="1" s="35"/>
    <row r="339" ht="14.25" customHeight="1" s="35"/>
    <row r="340" ht="14.25" customHeight="1" s="35"/>
    <row r="341" ht="14.25" customHeight="1" s="35"/>
    <row r="342" ht="14.25" customHeight="1" s="35"/>
    <row r="343" ht="14.25" customHeight="1" s="35"/>
    <row r="344" ht="14.25" customHeight="1" s="35"/>
    <row r="345" ht="14.25" customHeight="1" s="35"/>
    <row r="346" ht="14.25" customHeight="1" s="35"/>
    <row r="347" ht="14.25" customHeight="1" s="35"/>
    <row r="348" ht="14.25" customHeight="1" s="35"/>
    <row r="349" ht="14.25" customHeight="1" s="35"/>
    <row r="350" ht="14.25" customHeight="1" s="35"/>
    <row r="351" ht="14.25" customHeight="1" s="35"/>
    <row r="352" ht="14.25" customHeight="1" s="35"/>
    <row r="353" ht="14.25" customHeight="1" s="35"/>
    <row r="354" ht="14.25" customHeight="1" s="35"/>
    <row r="355" ht="14.25" customHeight="1" s="35"/>
    <row r="356" ht="14.25" customHeight="1" s="35"/>
    <row r="357" ht="14.25" customHeight="1" s="35"/>
    <row r="358" ht="14.25" customHeight="1" s="35"/>
    <row r="359" ht="14.25" customHeight="1" s="35"/>
    <row r="360" ht="14.25" customHeight="1" s="35"/>
    <row r="361" ht="14.25" customHeight="1" s="35"/>
    <row r="362" ht="14.25" customHeight="1" s="35"/>
    <row r="363" ht="14.25" customHeight="1" s="35"/>
    <row r="364" ht="14.25" customHeight="1" s="35"/>
    <row r="365" ht="14.25" customHeight="1" s="35"/>
    <row r="366" ht="14.25" customHeight="1" s="35"/>
    <row r="367" ht="14.25" customHeight="1" s="35"/>
    <row r="368" ht="14.25" customHeight="1" s="35"/>
    <row r="369" ht="14.25" customHeight="1" s="35"/>
    <row r="370" ht="14.25" customHeight="1" s="35"/>
    <row r="371" ht="14.25" customHeight="1" s="35"/>
    <row r="372" ht="14.25" customHeight="1" s="35"/>
    <row r="373" ht="14.25" customHeight="1" s="35"/>
    <row r="374" ht="14.25" customHeight="1" s="35"/>
    <row r="375" ht="14.25" customHeight="1" s="35"/>
    <row r="376" ht="14.25" customHeight="1" s="35"/>
    <row r="377" ht="14.25" customHeight="1" s="35"/>
    <row r="378" ht="14.25" customHeight="1" s="35"/>
    <row r="379" ht="14.25" customHeight="1" s="35"/>
    <row r="380" ht="14.25" customHeight="1" s="35"/>
    <row r="381" ht="14.25" customHeight="1" s="35"/>
    <row r="382" ht="14.25" customHeight="1" s="35"/>
    <row r="383" ht="14.25" customHeight="1" s="35"/>
    <row r="384" ht="14.25" customHeight="1" s="35"/>
    <row r="385" ht="14.25" customHeight="1" s="35"/>
    <row r="386" ht="14.25" customHeight="1" s="35"/>
    <row r="387" ht="14.25" customHeight="1" s="35"/>
    <row r="388" ht="14.25" customHeight="1" s="35"/>
    <row r="389" ht="14.25" customHeight="1" s="35"/>
    <row r="390" ht="14.25" customHeight="1" s="35"/>
    <row r="391" ht="14.25" customHeight="1" s="35"/>
    <row r="392" ht="14.25" customHeight="1" s="35"/>
    <row r="393" ht="14.25" customHeight="1" s="35"/>
    <row r="394" ht="14.25" customHeight="1" s="35"/>
    <row r="395" ht="14.25" customHeight="1" s="35"/>
    <row r="396" ht="14.25" customHeight="1" s="35"/>
    <row r="397" ht="14.25" customHeight="1" s="35"/>
    <row r="398" ht="14.25" customHeight="1" s="35"/>
    <row r="399" ht="14.25" customHeight="1" s="35"/>
    <row r="400" ht="14.25" customHeight="1" s="35"/>
    <row r="401" ht="14.25" customHeight="1" s="35"/>
    <row r="402" ht="14.25" customHeight="1" s="35"/>
    <row r="403" ht="14.25" customHeight="1" s="35"/>
    <row r="404" ht="14.25" customHeight="1" s="35"/>
    <row r="405" ht="14.25" customHeight="1" s="35"/>
    <row r="406" ht="14.25" customHeight="1" s="35"/>
    <row r="407" ht="14.25" customHeight="1" s="35"/>
    <row r="408" ht="14.25" customHeight="1" s="35"/>
    <row r="409" ht="14.25" customHeight="1" s="35"/>
    <row r="410" ht="14.25" customHeight="1" s="35"/>
    <row r="411" ht="14.25" customHeight="1" s="35"/>
    <row r="412" ht="14.25" customHeight="1" s="35"/>
    <row r="413" ht="14.25" customHeight="1" s="35"/>
    <row r="414" ht="14.25" customHeight="1" s="35"/>
    <row r="415" ht="14.25" customHeight="1" s="35"/>
    <row r="416" ht="14.25" customHeight="1" s="35"/>
    <row r="417" ht="14.25" customHeight="1" s="35"/>
    <row r="418" ht="14.25" customHeight="1" s="35"/>
    <row r="419" ht="14.25" customHeight="1" s="35"/>
    <row r="420" ht="14.25" customHeight="1" s="35"/>
    <row r="421" ht="14.25" customHeight="1" s="35"/>
    <row r="422" ht="14.25" customHeight="1" s="35"/>
    <row r="423" ht="14.25" customHeight="1" s="35"/>
    <row r="424" ht="14.25" customHeight="1" s="35"/>
    <row r="425" ht="14.25" customHeight="1" s="35"/>
    <row r="426" ht="14.25" customHeight="1" s="35"/>
    <row r="427" ht="14.25" customHeight="1" s="35"/>
    <row r="428" ht="14.25" customHeight="1" s="35"/>
    <row r="429" ht="14.25" customHeight="1" s="35"/>
    <row r="430" ht="14.25" customHeight="1" s="35"/>
    <row r="431" ht="14.25" customHeight="1" s="35"/>
    <row r="432" ht="14.25" customHeight="1" s="35"/>
    <row r="433" ht="14.25" customHeight="1" s="35"/>
    <row r="434" ht="14.25" customHeight="1" s="35"/>
    <row r="435" ht="14.25" customHeight="1" s="35"/>
    <row r="436" ht="14.25" customHeight="1" s="35"/>
    <row r="437" ht="14.25" customHeight="1" s="35"/>
    <row r="438" ht="14.25" customHeight="1" s="35"/>
    <row r="439" ht="14.25" customHeight="1" s="35"/>
    <row r="440" ht="14.25" customHeight="1" s="35"/>
    <row r="441" ht="14.25" customHeight="1" s="35"/>
    <row r="442" ht="14.25" customHeight="1" s="35"/>
    <row r="443" ht="14.25" customHeight="1" s="35"/>
    <row r="444" ht="14.25" customHeight="1" s="35"/>
    <row r="445" ht="14.25" customHeight="1" s="35"/>
    <row r="446" ht="14.25" customHeight="1" s="35"/>
    <row r="447" ht="14.25" customHeight="1" s="35"/>
    <row r="448" ht="14.25" customHeight="1" s="35"/>
    <row r="449" ht="14.25" customHeight="1" s="35"/>
    <row r="450" ht="14.25" customHeight="1" s="35"/>
    <row r="451" ht="14.25" customHeight="1" s="35"/>
    <row r="452" ht="14.25" customHeight="1" s="35"/>
    <row r="453" ht="14.25" customHeight="1" s="35"/>
    <row r="454" ht="14.25" customHeight="1" s="35"/>
    <row r="455" ht="14.25" customHeight="1" s="35"/>
    <row r="456" ht="14.25" customHeight="1" s="35"/>
    <row r="457" ht="14.25" customHeight="1" s="35"/>
    <row r="458" ht="14.25" customHeight="1" s="35"/>
    <row r="459" ht="14.25" customHeight="1" s="35"/>
    <row r="460" ht="14.25" customHeight="1" s="35"/>
    <row r="461" ht="14.25" customHeight="1" s="35"/>
    <row r="462" ht="14.25" customHeight="1" s="35"/>
    <row r="463" ht="14.25" customHeight="1" s="35"/>
    <row r="464" ht="14.25" customHeight="1" s="35"/>
    <row r="465" ht="14.25" customHeight="1" s="35"/>
    <row r="466" ht="14.25" customHeight="1" s="35"/>
    <row r="467" ht="14.25" customHeight="1" s="35"/>
    <row r="468" ht="14.25" customHeight="1" s="35"/>
    <row r="469" ht="14.25" customHeight="1" s="35"/>
    <row r="470" ht="14.25" customHeight="1" s="35"/>
    <row r="471" ht="14.25" customHeight="1" s="35"/>
    <row r="472" ht="14.25" customHeight="1" s="35"/>
    <row r="473" ht="14.25" customHeight="1" s="35"/>
    <row r="474" ht="14.25" customHeight="1" s="35"/>
    <row r="475" ht="14.25" customHeight="1" s="35"/>
    <row r="476" ht="14.25" customHeight="1" s="35"/>
    <row r="477" ht="14.25" customHeight="1" s="35"/>
    <row r="478" ht="14.25" customHeight="1" s="35"/>
    <row r="479" ht="14.25" customHeight="1" s="35"/>
    <row r="480" ht="14.25" customHeight="1" s="35"/>
    <row r="481" ht="14.25" customHeight="1" s="35"/>
    <row r="482" ht="14.25" customHeight="1" s="35"/>
    <row r="483" ht="14.25" customHeight="1" s="35"/>
    <row r="484" ht="14.25" customHeight="1" s="35"/>
    <row r="485" ht="14.25" customHeight="1" s="35"/>
    <row r="486" ht="14.25" customHeight="1" s="35"/>
    <row r="487" ht="14.25" customHeight="1" s="35"/>
    <row r="488" ht="14.25" customHeight="1" s="35"/>
    <row r="489" ht="14.25" customHeight="1" s="35"/>
    <row r="490" ht="14.25" customHeight="1" s="35"/>
    <row r="491" ht="14.25" customHeight="1" s="35"/>
    <row r="492" ht="14.25" customHeight="1" s="35"/>
    <row r="493" ht="14.25" customHeight="1" s="35"/>
    <row r="494" ht="14.25" customHeight="1" s="35"/>
    <row r="495" ht="14.25" customHeight="1" s="35"/>
    <row r="496" ht="14.25" customHeight="1" s="35"/>
    <row r="497" ht="14.25" customHeight="1" s="35"/>
    <row r="498" ht="14.25" customHeight="1" s="35"/>
    <row r="499" ht="14.25" customHeight="1" s="35"/>
    <row r="500" ht="14.25" customHeight="1" s="35"/>
    <row r="501" ht="14.25" customHeight="1" s="35"/>
    <row r="502" ht="14.25" customHeight="1" s="35"/>
    <row r="503" ht="14.25" customHeight="1" s="35"/>
    <row r="504" ht="14.25" customHeight="1" s="35"/>
    <row r="505" ht="14.25" customHeight="1" s="35"/>
    <row r="506" ht="14.25" customHeight="1" s="35"/>
    <row r="507" ht="14.25" customHeight="1" s="35"/>
    <row r="508" ht="14.25" customHeight="1" s="35"/>
    <row r="509" ht="14.25" customHeight="1" s="35"/>
    <row r="510" ht="14.25" customHeight="1" s="35"/>
    <row r="511" ht="14.25" customHeight="1" s="35"/>
    <row r="512" ht="14.25" customHeight="1" s="35"/>
    <row r="513" ht="14.25" customHeight="1" s="35"/>
    <row r="514" ht="14.25" customHeight="1" s="35"/>
    <row r="515" ht="14.25" customHeight="1" s="35"/>
    <row r="516" ht="14.25" customHeight="1" s="35"/>
    <row r="517" ht="14.25" customHeight="1" s="35"/>
    <row r="518" ht="14.25" customHeight="1" s="35"/>
    <row r="519" ht="14.25" customHeight="1" s="35"/>
    <row r="520" ht="14.25" customHeight="1" s="35"/>
    <row r="521" ht="14.25" customHeight="1" s="35"/>
    <row r="522" ht="14.25" customHeight="1" s="35"/>
    <row r="523" ht="14.25" customHeight="1" s="35"/>
    <row r="524" ht="14.25" customHeight="1" s="35"/>
    <row r="525" ht="14.25" customHeight="1" s="35"/>
    <row r="526" ht="14.25" customHeight="1" s="35"/>
    <row r="527" ht="14.25" customHeight="1" s="35"/>
    <row r="528" ht="14.25" customHeight="1" s="35"/>
    <row r="529" ht="14.25" customHeight="1" s="35"/>
    <row r="530" ht="14.25" customHeight="1" s="35"/>
    <row r="531" ht="14.25" customHeight="1" s="35"/>
    <row r="532" ht="14.25" customHeight="1" s="35"/>
    <row r="533" ht="14.25" customHeight="1" s="35"/>
    <row r="534" ht="14.25" customHeight="1" s="35"/>
    <row r="535" ht="14.25" customHeight="1" s="35"/>
    <row r="536" ht="14.25" customHeight="1" s="35"/>
    <row r="537" ht="14.25" customHeight="1" s="35"/>
    <row r="538" ht="14.25" customHeight="1" s="35"/>
    <row r="539" ht="14.25" customHeight="1" s="35"/>
    <row r="540" ht="14.25" customHeight="1" s="35"/>
    <row r="541" ht="14.25" customHeight="1" s="35"/>
    <row r="542" ht="14.25" customHeight="1" s="35"/>
    <row r="543" ht="14.25" customHeight="1" s="35"/>
    <row r="544" ht="14.25" customHeight="1" s="35"/>
    <row r="545" ht="14.25" customHeight="1" s="35"/>
    <row r="546" ht="14.25" customHeight="1" s="35"/>
    <row r="547" ht="14.25" customHeight="1" s="35"/>
    <row r="548" ht="14.25" customHeight="1" s="35"/>
    <row r="549" ht="14.25" customHeight="1" s="35"/>
    <row r="550" ht="14.25" customHeight="1" s="35"/>
    <row r="551" ht="14.25" customHeight="1" s="35"/>
    <row r="552" ht="14.25" customHeight="1" s="35"/>
    <row r="553" ht="14.25" customHeight="1" s="35"/>
    <row r="554" ht="14.25" customHeight="1" s="35"/>
    <row r="555" ht="14.25" customHeight="1" s="35"/>
    <row r="556" ht="14.25" customHeight="1" s="35"/>
    <row r="557" ht="14.25" customHeight="1" s="35"/>
    <row r="558" ht="14.25" customHeight="1" s="35"/>
    <row r="559" ht="14.25" customHeight="1" s="35"/>
    <row r="560" ht="14.25" customHeight="1" s="35"/>
    <row r="561" ht="14.25" customHeight="1" s="35"/>
    <row r="562" ht="14.25" customHeight="1" s="35"/>
    <row r="563" ht="14.25" customHeight="1" s="35"/>
    <row r="564" ht="14.25" customHeight="1" s="35"/>
    <row r="565" ht="14.25" customHeight="1" s="35"/>
    <row r="566" ht="14.25" customHeight="1" s="35"/>
    <row r="567" ht="14.25" customHeight="1" s="35"/>
    <row r="568" ht="14.25" customHeight="1" s="35"/>
    <row r="569" ht="14.25" customHeight="1" s="35"/>
    <row r="570" ht="14.25" customHeight="1" s="35"/>
    <row r="571" ht="14.25" customHeight="1" s="35"/>
    <row r="572" ht="14.25" customHeight="1" s="35"/>
    <row r="573" ht="14.25" customHeight="1" s="35"/>
    <row r="574" ht="14.25" customHeight="1" s="35"/>
    <row r="575" ht="14.25" customHeight="1" s="35"/>
    <row r="576" ht="14.25" customHeight="1" s="35"/>
    <row r="577" ht="14.25" customHeight="1" s="35"/>
    <row r="578" ht="14.25" customHeight="1" s="35"/>
    <row r="579" ht="14.25" customHeight="1" s="35"/>
    <row r="580" ht="14.25" customHeight="1" s="35"/>
    <row r="581" ht="14.25" customHeight="1" s="35"/>
    <row r="582" ht="14.25" customHeight="1" s="35"/>
    <row r="583" ht="14.25" customHeight="1" s="35"/>
    <row r="584" ht="14.25" customHeight="1" s="35"/>
    <row r="585" ht="14.25" customHeight="1" s="35"/>
    <row r="586" ht="14.25" customHeight="1" s="35"/>
    <row r="587" ht="14.25" customHeight="1" s="35"/>
    <row r="588" ht="14.25" customHeight="1" s="35"/>
    <row r="589" ht="14.25" customHeight="1" s="35"/>
    <row r="590" ht="14.25" customHeight="1" s="35"/>
    <row r="591" ht="14.25" customHeight="1" s="35"/>
    <row r="592" ht="14.25" customHeight="1" s="35"/>
    <row r="593" ht="14.25" customHeight="1" s="35"/>
    <row r="594" ht="14.25" customHeight="1" s="35"/>
    <row r="595" ht="14.25" customHeight="1" s="35"/>
    <row r="596" ht="14.25" customHeight="1" s="35"/>
    <row r="597" ht="14.25" customHeight="1" s="35"/>
    <row r="598" ht="14.25" customHeight="1" s="35"/>
    <row r="599" ht="14.25" customHeight="1" s="35"/>
    <row r="600" ht="14.25" customHeight="1" s="35"/>
    <row r="601" ht="14.25" customHeight="1" s="35"/>
    <row r="602" ht="14.25" customHeight="1" s="35"/>
    <row r="603" ht="14.25" customHeight="1" s="35"/>
    <row r="604" ht="14.25" customHeight="1" s="35"/>
    <row r="605" ht="14.25" customHeight="1" s="35"/>
    <row r="606" ht="14.25" customHeight="1" s="35"/>
    <row r="607" ht="14.25" customHeight="1" s="35"/>
    <row r="608" ht="14.25" customHeight="1" s="35"/>
    <row r="609" ht="14.25" customHeight="1" s="35"/>
    <row r="610" ht="14.25" customHeight="1" s="35"/>
    <row r="611" ht="14.25" customHeight="1" s="35"/>
    <row r="612" ht="14.25" customHeight="1" s="35"/>
    <row r="613" ht="14.25" customHeight="1" s="35"/>
    <row r="614" ht="14.25" customHeight="1" s="35"/>
    <row r="615" ht="14.25" customHeight="1" s="35"/>
    <row r="616" ht="14.25" customHeight="1" s="35"/>
    <row r="617" ht="14.25" customHeight="1" s="35"/>
    <row r="618" ht="14.25" customHeight="1" s="35"/>
    <row r="619" ht="14.25" customHeight="1" s="35"/>
    <row r="620" ht="14.25" customHeight="1" s="35"/>
    <row r="621" ht="14.25" customHeight="1" s="35"/>
    <row r="622" ht="14.25" customHeight="1" s="35"/>
    <row r="623" ht="14.25" customHeight="1" s="35"/>
    <row r="624" ht="14.25" customHeight="1" s="35"/>
    <row r="625" ht="14.25" customHeight="1" s="35"/>
    <row r="626" ht="14.25" customHeight="1" s="35"/>
    <row r="627" ht="14.25" customHeight="1" s="35"/>
    <row r="628" ht="14.25" customHeight="1" s="35"/>
    <row r="629" ht="14.25" customHeight="1" s="35"/>
    <row r="630" ht="14.25" customHeight="1" s="35"/>
    <row r="631" ht="14.25" customHeight="1" s="35"/>
    <row r="632" ht="14.25" customHeight="1" s="35"/>
    <row r="633" ht="14.25" customHeight="1" s="35"/>
    <row r="634" ht="14.25" customHeight="1" s="35"/>
    <row r="635" ht="14.25" customHeight="1" s="35"/>
    <row r="636" ht="14.25" customHeight="1" s="35"/>
    <row r="637" ht="14.25" customHeight="1" s="35"/>
    <row r="638" ht="14.25" customHeight="1" s="35"/>
    <row r="639" ht="14.25" customHeight="1" s="35"/>
    <row r="640" ht="14.25" customHeight="1" s="35"/>
    <row r="641" ht="14.25" customHeight="1" s="35"/>
    <row r="642" ht="14.25" customHeight="1" s="35"/>
    <row r="643" ht="14.25" customHeight="1" s="35"/>
    <row r="644" ht="14.25" customHeight="1" s="35"/>
    <row r="645" ht="14.25" customHeight="1" s="35"/>
    <row r="646" ht="14.25" customHeight="1" s="35"/>
    <row r="647" ht="14.25" customHeight="1" s="35"/>
    <row r="648" ht="14.25" customHeight="1" s="35"/>
    <row r="649" ht="14.25" customHeight="1" s="35"/>
    <row r="650" ht="14.25" customHeight="1" s="35"/>
    <row r="651" ht="14.25" customHeight="1" s="35"/>
    <row r="652" ht="14.25" customHeight="1" s="35"/>
    <row r="653" ht="14.25" customHeight="1" s="35"/>
    <row r="654" ht="14.25" customHeight="1" s="35"/>
    <row r="655" ht="14.25" customHeight="1" s="35"/>
    <row r="656" ht="14.25" customHeight="1" s="35"/>
    <row r="657" ht="14.25" customHeight="1" s="35"/>
    <row r="658" ht="14.25" customHeight="1" s="35"/>
    <row r="659" ht="14.25" customHeight="1" s="35"/>
    <row r="660" ht="14.25" customHeight="1" s="35"/>
    <row r="661" ht="14.25" customHeight="1" s="35"/>
    <row r="662" ht="14.25" customHeight="1" s="35"/>
    <row r="663" ht="14.25" customHeight="1" s="35"/>
    <row r="664" ht="14.25" customHeight="1" s="35"/>
    <row r="665" ht="14.25" customHeight="1" s="35"/>
    <row r="666" ht="14.25" customHeight="1" s="35"/>
    <row r="667" ht="14.25" customHeight="1" s="35"/>
    <row r="668" ht="14.25" customHeight="1" s="35"/>
    <row r="669" ht="14.25" customHeight="1" s="35"/>
    <row r="670" ht="14.25" customHeight="1" s="35"/>
    <row r="671" ht="14.25" customHeight="1" s="35"/>
    <row r="672" ht="14.25" customHeight="1" s="35"/>
    <row r="673" ht="14.25" customHeight="1" s="35"/>
    <row r="674" ht="14.25" customHeight="1" s="35"/>
    <row r="675" ht="14.25" customHeight="1" s="35"/>
    <row r="676" ht="14.25" customHeight="1" s="35"/>
    <row r="677" ht="14.25" customHeight="1" s="35"/>
    <row r="678" ht="14.25" customHeight="1" s="35"/>
    <row r="679" ht="14.25" customHeight="1" s="35"/>
    <row r="680" ht="14.25" customHeight="1" s="35"/>
    <row r="681" ht="14.25" customHeight="1" s="35"/>
    <row r="682" ht="14.25" customHeight="1" s="35"/>
    <row r="683" ht="14.25" customHeight="1" s="35"/>
    <row r="684" ht="14.25" customHeight="1" s="35"/>
    <row r="685" ht="14.25" customHeight="1" s="35"/>
    <row r="686" ht="14.25" customHeight="1" s="35"/>
    <row r="687" ht="14.25" customHeight="1" s="35"/>
    <row r="688" ht="14.25" customHeight="1" s="35"/>
    <row r="689" ht="14.25" customHeight="1" s="35"/>
    <row r="690" ht="14.25" customHeight="1" s="35"/>
    <row r="691" ht="14.25" customHeight="1" s="35"/>
    <row r="692" ht="14.25" customHeight="1" s="35"/>
    <row r="693" ht="14.25" customHeight="1" s="35"/>
    <row r="694" ht="14.25" customHeight="1" s="35"/>
    <row r="695" ht="14.25" customHeight="1" s="35"/>
    <row r="696" ht="14.25" customHeight="1" s="35"/>
    <row r="697" ht="14.25" customHeight="1" s="35"/>
    <row r="698" ht="14.25" customHeight="1" s="35"/>
    <row r="699" ht="14.25" customHeight="1" s="35"/>
    <row r="700" ht="14.25" customHeight="1" s="35"/>
    <row r="701" ht="14.25" customHeight="1" s="35"/>
    <row r="702" ht="14.25" customHeight="1" s="35"/>
    <row r="703" ht="14.25" customHeight="1" s="35"/>
    <row r="704" ht="14.25" customHeight="1" s="35"/>
    <row r="705" ht="14.25" customHeight="1" s="35"/>
    <row r="706" ht="14.25" customHeight="1" s="35"/>
    <row r="707" ht="14.25" customHeight="1" s="35"/>
    <row r="708" ht="14.25" customHeight="1" s="35"/>
    <row r="709" ht="14.25" customHeight="1" s="35"/>
    <row r="710" ht="14.25" customHeight="1" s="35"/>
    <row r="711" ht="14.25" customHeight="1" s="35"/>
    <row r="712" ht="14.25" customHeight="1" s="35"/>
    <row r="713" ht="14.25" customHeight="1" s="35"/>
    <row r="714" ht="14.25" customHeight="1" s="35"/>
    <row r="715" ht="14.25" customHeight="1" s="35"/>
    <row r="716" ht="14.25" customHeight="1" s="35"/>
    <row r="717" ht="14.25" customHeight="1" s="35"/>
    <row r="718" ht="14.25" customHeight="1" s="35"/>
    <row r="719" ht="14.25" customHeight="1" s="35"/>
    <row r="720" ht="14.25" customHeight="1" s="35"/>
    <row r="721" ht="14.25" customHeight="1" s="35"/>
    <row r="722" ht="14.25" customHeight="1" s="35"/>
    <row r="723" ht="14.25" customHeight="1" s="35"/>
    <row r="724" ht="14.25" customHeight="1" s="35"/>
    <row r="725" ht="14.25" customHeight="1" s="35"/>
    <row r="726" ht="14.25" customHeight="1" s="35"/>
    <row r="727" ht="14.25" customHeight="1" s="35"/>
    <row r="728" ht="14.25" customHeight="1" s="35"/>
    <row r="729" ht="14.25" customHeight="1" s="35"/>
    <row r="730" ht="14.25" customHeight="1" s="35"/>
    <row r="731" ht="14.25" customHeight="1" s="35"/>
    <row r="732" ht="14.25" customHeight="1" s="35"/>
    <row r="733" ht="14.25" customHeight="1" s="35"/>
    <row r="734" ht="14.25" customHeight="1" s="35"/>
    <row r="735" ht="14.25" customHeight="1" s="35"/>
    <row r="736" ht="14.25" customHeight="1" s="35"/>
    <row r="737" ht="14.25" customHeight="1" s="35"/>
    <row r="738" ht="14.25" customHeight="1" s="35"/>
    <row r="739" ht="14.25" customHeight="1" s="35"/>
    <row r="740" ht="14.25" customHeight="1" s="35"/>
    <row r="741" ht="14.25" customHeight="1" s="35"/>
    <row r="742" ht="14.25" customHeight="1" s="35"/>
    <row r="743" ht="14.25" customHeight="1" s="35"/>
    <row r="744" ht="14.25" customHeight="1" s="35"/>
    <row r="745" ht="14.25" customHeight="1" s="35"/>
    <row r="746" ht="14.25" customHeight="1" s="35"/>
    <row r="747" ht="14.25" customHeight="1" s="35"/>
    <row r="748" ht="14.25" customHeight="1" s="35"/>
    <row r="749" ht="14.25" customHeight="1" s="35"/>
    <row r="750" ht="14.25" customHeight="1" s="35"/>
    <row r="751" ht="14.25" customHeight="1" s="35"/>
    <row r="752" ht="14.25" customHeight="1" s="35"/>
    <row r="753" ht="14.25" customHeight="1" s="35"/>
    <row r="754" ht="14.25" customHeight="1" s="35"/>
    <row r="755" ht="14.25" customHeight="1" s="35"/>
    <row r="756" ht="14.25" customHeight="1" s="35"/>
    <row r="757" ht="14.25" customHeight="1" s="35"/>
    <row r="758" ht="14.25" customHeight="1" s="35"/>
    <row r="759" ht="14.25" customHeight="1" s="35"/>
    <row r="760" ht="14.25" customHeight="1" s="35"/>
    <row r="761" ht="14.25" customHeight="1" s="35"/>
    <row r="762" ht="14.25" customHeight="1" s="35"/>
    <row r="763" ht="14.25" customHeight="1" s="35"/>
    <row r="764" ht="14.25" customHeight="1" s="35"/>
    <row r="765" ht="14.25" customHeight="1" s="35"/>
    <row r="766" ht="14.25" customHeight="1" s="35"/>
    <row r="767" ht="14.25" customHeight="1" s="35"/>
    <row r="768" ht="14.25" customHeight="1" s="35"/>
    <row r="769" ht="14.25" customHeight="1" s="35"/>
    <row r="770" ht="14.25" customHeight="1" s="35"/>
    <row r="771" ht="14.25" customHeight="1" s="35"/>
    <row r="772" ht="14.25" customHeight="1" s="35"/>
    <row r="773" ht="14.25" customHeight="1" s="35"/>
    <row r="774" ht="14.25" customHeight="1" s="35"/>
    <row r="775" ht="14.25" customHeight="1" s="35"/>
    <row r="776" ht="14.25" customHeight="1" s="35"/>
    <row r="777" ht="14.25" customHeight="1" s="35"/>
    <row r="778" ht="14.25" customHeight="1" s="35"/>
    <row r="779" ht="14.25" customHeight="1" s="35"/>
    <row r="780" ht="14.25" customHeight="1" s="35"/>
    <row r="781" ht="14.25" customHeight="1" s="35"/>
    <row r="782" ht="14.25" customHeight="1" s="35"/>
    <row r="783" ht="14.25" customHeight="1" s="35"/>
    <row r="784" ht="14.25" customHeight="1" s="35"/>
    <row r="785" ht="14.25" customHeight="1" s="35"/>
    <row r="786" ht="14.25" customHeight="1" s="35"/>
    <row r="787" ht="14.25" customHeight="1" s="35"/>
    <row r="788" ht="14.25" customHeight="1" s="35"/>
    <row r="789" ht="14.25" customHeight="1" s="35"/>
    <row r="790" ht="14.25" customHeight="1" s="35"/>
    <row r="791" ht="14.25" customHeight="1" s="35"/>
    <row r="792" ht="14.25" customHeight="1" s="35"/>
    <row r="793" ht="14.25" customHeight="1" s="35"/>
    <row r="794" ht="14.25" customHeight="1" s="35"/>
    <row r="795" ht="14.25" customHeight="1" s="35"/>
    <row r="796" ht="14.25" customHeight="1" s="35"/>
    <row r="797" ht="14.25" customHeight="1" s="35"/>
    <row r="798" ht="14.25" customHeight="1" s="35"/>
    <row r="799" ht="14.25" customHeight="1" s="35"/>
    <row r="800" ht="14.25" customHeight="1" s="35"/>
    <row r="801" ht="14.25" customHeight="1" s="35"/>
    <row r="802" ht="14.25" customHeight="1" s="35"/>
    <row r="803" ht="14.25" customHeight="1" s="35"/>
    <row r="804" ht="14.25" customHeight="1" s="35"/>
    <row r="805" ht="14.25" customHeight="1" s="35"/>
    <row r="806" ht="14.25" customHeight="1" s="35"/>
    <row r="807" ht="14.25" customHeight="1" s="35"/>
    <row r="808" ht="14.25" customHeight="1" s="35"/>
    <row r="809" ht="14.25" customHeight="1" s="35"/>
    <row r="810" ht="14.25" customHeight="1" s="35"/>
    <row r="811" ht="14.25" customHeight="1" s="35"/>
    <row r="812" ht="14.25" customHeight="1" s="35"/>
    <row r="813" ht="14.25" customHeight="1" s="35"/>
    <row r="814" ht="14.25" customHeight="1" s="35"/>
    <row r="815" ht="14.25" customHeight="1" s="35"/>
    <row r="816" ht="14.25" customHeight="1" s="35"/>
    <row r="817" ht="14.25" customHeight="1" s="35"/>
    <row r="818" ht="14.25" customHeight="1" s="35"/>
    <row r="819" ht="14.25" customHeight="1" s="35"/>
    <row r="820" ht="14.25" customHeight="1" s="35"/>
    <row r="821" ht="14.25" customHeight="1" s="35"/>
    <row r="822" ht="14.25" customHeight="1" s="35"/>
    <row r="823" ht="14.25" customHeight="1" s="35"/>
    <row r="824" ht="14.25" customHeight="1" s="35"/>
    <row r="825" ht="14.25" customHeight="1" s="35"/>
    <row r="826" ht="14.25" customHeight="1" s="35"/>
    <row r="827" ht="14.25" customHeight="1" s="35"/>
    <row r="828" ht="14.25" customHeight="1" s="35"/>
    <row r="829" ht="14.25" customHeight="1" s="35"/>
    <row r="830" ht="14.25" customHeight="1" s="35"/>
    <row r="831" ht="14.25" customHeight="1" s="35"/>
    <row r="832" ht="14.25" customHeight="1" s="35"/>
    <row r="833" ht="14.25" customHeight="1" s="35"/>
    <row r="834" ht="14.25" customHeight="1" s="35"/>
    <row r="835" ht="14.25" customHeight="1" s="35"/>
    <row r="836" ht="14.25" customHeight="1" s="35"/>
    <row r="837" ht="14.25" customHeight="1" s="35"/>
    <row r="838" ht="14.25" customHeight="1" s="35"/>
    <row r="839" ht="14.25" customHeight="1" s="35"/>
    <row r="840" ht="14.25" customHeight="1" s="35"/>
    <row r="841" ht="14.25" customHeight="1" s="35"/>
    <row r="842" ht="14.25" customHeight="1" s="35"/>
    <row r="843" ht="14.25" customHeight="1" s="35"/>
    <row r="844" ht="14.25" customHeight="1" s="35"/>
    <row r="845" ht="14.25" customHeight="1" s="35"/>
    <row r="846" ht="14.25" customHeight="1" s="35"/>
    <row r="847" ht="14.25" customHeight="1" s="35"/>
    <row r="848" ht="14.25" customHeight="1" s="35"/>
    <row r="849" ht="14.25" customHeight="1" s="35"/>
    <row r="850" ht="14.25" customHeight="1" s="35"/>
    <row r="851" ht="14.25" customHeight="1" s="35"/>
    <row r="852" ht="14.25" customHeight="1" s="35"/>
    <row r="853" ht="14.25" customHeight="1" s="35"/>
    <row r="854" ht="14.25" customHeight="1" s="35"/>
    <row r="855" ht="14.25" customHeight="1" s="35"/>
    <row r="856" ht="14.25" customHeight="1" s="35"/>
    <row r="857" ht="14.25" customHeight="1" s="35"/>
    <row r="858" ht="14.25" customHeight="1" s="35"/>
    <row r="859" ht="14.25" customHeight="1" s="35"/>
    <row r="860" ht="14.25" customHeight="1" s="35"/>
    <row r="861" ht="14.25" customHeight="1" s="35"/>
    <row r="862" ht="14.25" customHeight="1" s="35"/>
    <row r="863" ht="14.25" customHeight="1" s="35"/>
    <row r="864" ht="14.25" customHeight="1" s="35"/>
    <row r="865" ht="14.25" customHeight="1" s="35"/>
    <row r="866" ht="14.25" customHeight="1" s="35"/>
    <row r="867" ht="14.25" customHeight="1" s="35"/>
    <row r="868" ht="14.25" customHeight="1" s="35"/>
    <row r="869" ht="14.25" customHeight="1" s="35"/>
    <row r="870" ht="14.25" customHeight="1" s="35"/>
    <row r="871" ht="14.25" customHeight="1" s="35"/>
    <row r="872" ht="14.25" customHeight="1" s="35"/>
    <row r="873" ht="14.25" customHeight="1" s="35"/>
    <row r="874" ht="14.25" customHeight="1" s="35"/>
    <row r="875" ht="14.25" customHeight="1" s="35"/>
    <row r="876" ht="14.25" customHeight="1" s="35"/>
    <row r="877" ht="14.25" customHeight="1" s="35"/>
    <row r="878" ht="14.25" customHeight="1" s="35"/>
    <row r="879" ht="14.25" customHeight="1" s="35"/>
    <row r="880" ht="14.25" customHeight="1" s="35"/>
    <row r="881" ht="14.25" customHeight="1" s="35"/>
    <row r="882" ht="14.25" customHeight="1" s="35"/>
    <row r="883" ht="14.25" customHeight="1" s="35"/>
    <row r="884" ht="14.25" customHeight="1" s="35"/>
    <row r="885" ht="14.25" customHeight="1" s="35"/>
    <row r="886" ht="14.25" customHeight="1" s="35"/>
    <row r="887" ht="14.25" customHeight="1" s="35"/>
    <row r="888" ht="14.25" customHeight="1" s="35"/>
    <row r="889" ht="14.25" customHeight="1" s="35"/>
    <row r="890" ht="14.25" customHeight="1" s="35"/>
    <row r="891" ht="14.25" customHeight="1" s="35"/>
    <row r="892" ht="14.25" customHeight="1" s="35"/>
    <row r="893" ht="14.25" customHeight="1" s="35"/>
    <row r="894" ht="14.25" customHeight="1" s="35"/>
    <row r="895" ht="14.25" customHeight="1" s="35"/>
    <row r="896" ht="14.25" customHeight="1" s="35"/>
    <row r="897" ht="14.25" customHeight="1" s="35"/>
    <row r="898" ht="14.25" customHeight="1" s="35"/>
    <row r="899" ht="14.25" customHeight="1" s="35"/>
    <row r="900" ht="14.25" customHeight="1" s="35"/>
    <row r="901" ht="14.25" customHeight="1" s="35"/>
    <row r="902" ht="14.25" customHeight="1" s="35"/>
    <row r="903" ht="14.25" customHeight="1" s="35"/>
    <row r="904" ht="14.25" customHeight="1" s="35"/>
    <row r="905" ht="14.25" customHeight="1" s="35"/>
    <row r="906" ht="14.25" customHeight="1" s="35"/>
    <row r="907" ht="14.25" customHeight="1" s="35"/>
    <row r="908" ht="14.25" customHeight="1" s="35"/>
    <row r="909" ht="14.25" customHeight="1" s="35"/>
    <row r="910" ht="14.25" customHeight="1" s="35"/>
    <row r="911" ht="14.25" customHeight="1" s="35"/>
    <row r="912" ht="14.25" customHeight="1" s="35"/>
    <row r="913" ht="14.25" customHeight="1" s="35"/>
    <row r="914" ht="14.25" customHeight="1" s="35"/>
    <row r="915" ht="14.25" customHeight="1" s="35"/>
    <row r="916" ht="14.25" customHeight="1" s="35"/>
    <row r="917" ht="14.25" customHeight="1" s="35"/>
    <row r="918" ht="14.25" customHeight="1" s="35"/>
    <row r="919" ht="14.25" customHeight="1" s="35"/>
    <row r="920" ht="14.25" customHeight="1" s="35"/>
    <row r="921" ht="14.25" customHeight="1" s="35"/>
    <row r="922" ht="14.25" customHeight="1" s="35"/>
    <row r="923" ht="14.25" customHeight="1" s="35"/>
    <row r="924" ht="14.25" customHeight="1" s="35"/>
    <row r="925" ht="14.25" customHeight="1" s="35"/>
    <row r="926" ht="14.25" customHeight="1" s="35"/>
    <row r="927" ht="14.25" customHeight="1" s="35"/>
    <row r="928" ht="14.25" customHeight="1" s="35"/>
    <row r="929" ht="14.25" customHeight="1" s="35"/>
    <row r="930" ht="14.25" customHeight="1" s="35"/>
    <row r="931" ht="14.25" customHeight="1" s="35"/>
    <row r="932" ht="14.25" customHeight="1" s="35"/>
    <row r="933" ht="14.25" customHeight="1" s="35"/>
    <row r="934" ht="14.25" customHeight="1" s="35"/>
    <row r="935" ht="14.25" customHeight="1" s="35"/>
    <row r="936" ht="14.25" customHeight="1" s="35"/>
    <row r="937" ht="14.25" customHeight="1" s="35"/>
    <row r="938" ht="14.25" customHeight="1" s="35"/>
    <row r="939" ht="14.25" customHeight="1" s="35"/>
    <row r="940" ht="14.25" customHeight="1" s="35"/>
    <row r="941" ht="14.25" customHeight="1" s="35"/>
    <row r="942" ht="14.25" customHeight="1" s="35"/>
    <row r="943" ht="14.25" customHeight="1" s="35"/>
    <row r="944" ht="14.25" customHeight="1" s="35"/>
    <row r="945" ht="14.25" customHeight="1" s="35"/>
    <row r="946" ht="14.25" customHeight="1" s="35"/>
    <row r="947" ht="14.25" customHeight="1" s="35"/>
    <row r="948" ht="14.25" customHeight="1" s="35"/>
    <row r="949" ht="14.25" customHeight="1" s="35"/>
    <row r="950" ht="14.25" customHeight="1" s="35"/>
    <row r="951" ht="14.25" customHeight="1" s="35"/>
    <row r="952" ht="14.25" customHeight="1" s="35"/>
    <row r="953" ht="14.25" customHeight="1" s="35"/>
    <row r="954" ht="14.25" customHeight="1" s="35"/>
    <row r="955" ht="14.25" customHeight="1" s="35"/>
    <row r="956" ht="14.25" customHeight="1" s="35"/>
    <row r="957" ht="14.25" customHeight="1" s="35"/>
    <row r="958" ht="14.25" customHeight="1" s="35"/>
    <row r="959" ht="14.25" customHeight="1" s="35"/>
    <row r="960" ht="14.25" customHeight="1" s="35"/>
    <row r="961" ht="14.25" customHeight="1" s="35"/>
    <row r="962" ht="14.25" customHeight="1" s="35"/>
    <row r="963" ht="14.25" customHeight="1" s="35"/>
    <row r="964" ht="14.25" customHeight="1" s="35"/>
    <row r="965" ht="14.25" customHeight="1" s="35"/>
    <row r="966" ht="14.25" customHeight="1" s="35"/>
    <row r="967" ht="14.25" customHeight="1" s="35"/>
    <row r="968" ht="14.25" customHeight="1" s="35"/>
    <row r="969" ht="14.25" customHeight="1" s="35"/>
    <row r="970" ht="14.25" customHeight="1" s="35"/>
    <row r="971" ht="14.25" customHeight="1" s="35"/>
    <row r="972" ht="14.25" customHeight="1" s="35"/>
    <row r="973" ht="14.25" customHeight="1" s="35"/>
    <row r="974" ht="14.25" customHeight="1" s="35"/>
    <row r="975" ht="14.25" customHeight="1" s="35"/>
    <row r="976" ht="14.25" customHeight="1" s="35"/>
    <row r="977" ht="14.25" customHeight="1" s="35"/>
    <row r="978" ht="14.25" customHeight="1" s="35"/>
    <row r="979" ht="14.25" customHeight="1" s="35"/>
    <row r="980" ht="14.25" customHeight="1" s="35"/>
    <row r="981" ht="14.25" customHeight="1" s="35"/>
    <row r="982" ht="14.25" customHeight="1" s="35"/>
    <row r="983" ht="14.25" customHeight="1" s="35"/>
    <row r="984" ht="14.25" customHeight="1" s="35"/>
    <row r="985" ht="14.25" customHeight="1" s="35"/>
    <row r="986" ht="14.25" customHeight="1" s="35"/>
    <row r="987" ht="14.25" customHeight="1" s="35"/>
    <row r="988" ht="14.25" customHeight="1" s="35"/>
    <row r="989" ht="14.25" customHeight="1" s="35"/>
    <row r="990" ht="14.25" customHeight="1" s="35"/>
    <row r="991" ht="14.25" customHeight="1" s="35"/>
    <row r="992" ht="14.25" customHeight="1" s="35"/>
    <row r="993" ht="14.25" customHeight="1" s="35"/>
    <row r="994" ht="14.25" customHeight="1" s="35"/>
    <row r="995" ht="14.25" customHeight="1" s="35"/>
    <row r="996" ht="14.25" customHeight="1" s="35"/>
    <row r="997" ht="14.25" customHeight="1" s="35"/>
    <row r="998" ht="14.25" customHeight="1" s="35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:P1"/>
    </sheetView>
  </sheetViews>
  <sheetFormatPr baseColWidth="8" defaultColWidth="14.453125" defaultRowHeight="15" customHeight="1"/>
  <cols>
    <col width="6.453125" customWidth="1" style="35" min="1" max="1"/>
    <col width="7" customWidth="1" style="35" min="2" max="2"/>
    <col width="31.81640625" customWidth="1" style="35" min="3" max="3"/>
    <col hidden="1" width="5" customWidth="1" style="35" min="4" max="12"/>
    <col hidden="1" width="5" customWidth="1" style="35" min="5" max="5"/>
    <col hidden="1" width="5" customWidth="1" style="35" min="6" max="6"/>
    <col hidden="1" width="5" customWidth="1" style="35" min="7" max="7"/>
    <col hidden="1" width="5" customWidth="1" style="35" min="8" max="8"/>
    <col hidden="1" width="5" customWidth="1" style="35" min="9" max="9"/>
    <col width="5" customWidth="1" style="35" min="10" max="10"/>
    <col width="5" customWidth="1" style="35" min="11" max="11"/>
    <col hidden="1" width="5" customWidth="1" style="35" min="12" max="12"/>
    <col hidden="1" width="5" customWidth="1" style="35" min="13" max="34"/>
    <col hidden="1" width="5" customWidth="1" style="35" min="14" max="14"/>
    <col hidden="1" width="5" customWidth="1" style="35" min="15" max="15"/>
    <col hidden="1" width="5" customWidth="1" style="35" min="16" max="16"/>
    <col width="5" customWidth="1" style="35" min="17" max="17"/>
    <col width="5" customWidth="1" style="35" min="18" max="18"/>
    <col width="5" customWidth="1" style="35" min="19" max="19"/>
    <col width="5" customWidth="1" style="35" min="20" max="20"/>
    <col width="5" customWidth="1" style="35" min="21" max="21"/>
    <col width="5" customWidth="1" style="35" min="22" max="22"/>
    <col width="5" customWidth="1" style="35" min="23" max="23"/>
    <col width="5" customWidth="1" style="35" min="24" max="24"/>
    <col width="5" customWidth="1" style="35" min="25" max="25"/>
    <col width="5" customWidth="1" style="35" min="26" max="26"/>
    <col width="5" customWidth="1" style="35" min="27" max="27"/>
    <col width="5" customWidth="1" style="35" min="28" max="28"/>
    <col width="5" customWidth="1" style="35" min="29" max="29"/>
    <col width="5" customWidth="1" style="35" min="30" max="30"/>
    <col width="5" customWidth="1" style="35" min="31" max="31"/>
    <col width="5" customWidth="1" style="35" min="32" max="32"/>
    <col width="5" customWidth="1" style="35" min="33" max="33"/>
    <col width="5" customWidth="1" style="35" min="34" max="34"/>
    <col width="8.7265625" customWidth="1" style="35" min="35" max="37"/>
    <col width="5.54296875" customWidth="1" style="35" min="38" max="41"/>
  </cols>
  <sheetData>
    <row r="1" ht="14.25" customHeight="1" s="35">
      <c r="A1" s="34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5">
      <c r="A2" s="36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5">
      <c r="A3" s="4" t="inlineStr">
        <is>
          <t>Kelas</t>
        </is>
      </c>
      <c r="B3" s="4" t="n"/>
      <c r="C3" s="4">
        <f>" : " &amp; IF(AJ2="","",AJ2)</f>
        <v/>
      </c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5">
      <c r="A4" s="4" t="inlineStr">
        <is>
          <t>Walikelas</t>
        </is>
      </c>
      <c r="B4" s="4" t="n"/>
      <c r="C4" s="4">
        <f>IFERROR(" :  " &amp;VLOOKUP($A$7&amp;$AJ$2,#REF!,6,FALSE), "")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5">
      <c r="A5" s="37" t="inlineStr">
        <is>
          <t>Nomor</t>
        </is>
      </c>
      <c r="B5" s="39" t="n"/>
      <c r="C5" s="40" t="inlineStr">
        <is>
          <t>Nama</t>
        </is>
      </c>
      <c r="D5" s="37" t="inlineStr">
        <is>
          <t>April</t>
        </is>
      </c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9" t="n"/>
    </row>
    <row r="6" ht="14.25" customHeight="1" s="35">
      <c r="A6" s="37" t="inlineStr">
        <is>
          <t>Urt</t>
        </is>
      </c>
      <c r="B6" s="37" t="inlineStr">
        <is>
          <t>Induk</t>
        </is>
      </c>
      <c r="C6" s="41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M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5">
      <c r="A7" s="9" t="n">
        <v>1</v>
      </c>
      <c r="B7" s="10">
        <f>IFERROR(VLOOKUP(A7&amp;$AJ$2,Data!$A$2:$AM$131,3,FALSE), "")</f>
        <v/>
      </c>
      <c r="C7" s="11">
        <f>IFERROR(VLOOKUP(A7&amp;$AJ$2,Data!$A$2:$AM$131,4,FALSE), "")</f>
        <v/>
      </c>
      <c r="D7" s="8" t="inlineStr">
        <is>
          <t>S</t>
        </is>
      </c>
      <c r="E7" s="8" t="inlineStr">
        <is>
          <t>S</t>
        </is>
      </c>
      <c r="F7" s="8" t="n"/>
      <c r="G7" s="8" t="n"/>
      <c r="H7" s="8" t="n"/>
      <c r="I7" s="8" t="inlineStr">
        <is>
          <t>S</t>
        </is>
      </c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n"/>
      <c r="P7" s="8" t="inlineStr">
        <is>
          <t>S</t>
        </is>
      </c>
      <c r="Q7" s="8" t="inlineStr">
        <is>
          <t>S</t>
        </is>
      </c>
      <c r="R7" s="8" t="inlineStr">
        <is>
          <t>S</t>
        </is>
      </c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>
        <f>COUNTIF(D7:AH7,"S")</f>
        <v/>
      </c>
      <c r="AM7" s="8">
        <f>COUNTIF(D7:AH7,"I")</f>
        <v/>
      </c>
      <c r="AN7" s="8">
        <f>COUNTIF(D7:AH7,"A")</f>
        <v/>
      </c>
      <c r="AO7" s="8">
        <f>SUM(AL7:AN7)</f>
        <v/>
      </c>
    </row>
    <row r="8" ht="12" customHeight="1" s="35">
      <c r="A8" s="9" t="n">
        <v>2</v>
      </c>
      <c r="B8" s="10">
        <f>IFERROR(VLOOKUP(A8&amp;$AJ$2,Data!$A$2:$AM$131,3,FALSE), "")</f>
        <v/>
      </c>
      <c r="C8" s="11">
        <f>IFERROR(VLOOKUP(A8&amp;$AJ$2,Data!$A$2:$AM$131,4,FALSE), "")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>
        <f>COUNTIF(D8:AH8,"S")</f>
        <v/>
      </c>
      <c r="AM8" s="8">
        <f>COUNTIF(D8:AH8,"I")</f>
        <v/>
      </c>
      <c r="AN8" s="8">
        <f>COUNTIF(D8:AH8,"A")</f>
        <v/>
      </c>
      <c r="AO8" s="8">
        <f>SUM(AL8:AN8)</f>
        <v/>
      </c>
    </row>
    <row r="9" ht="12" customHeight="1" s="35">
      <c r="A9" s="9" t="n">
        <v>3</v>
      </c>
      <c r="B9" s="10">
        <f>IFERROR(VLOOKUP(A9&amp;$AJ$2,Data!$A$2:$AM$131,3,FALSE), "")</f>
        <v/>
      </c>
      <c r="C9" s="11">
        <f>IFERROR(VLOOKUP(A9&amp;$AJ$2,Data!$A$2:$AM$131,4,FALSE), "")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S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>
        <f>COUNTIF(D9:AH9,"S")</f>
        <v/>
      </c>
      <c r="AM9" s="8">
        <f>COUNTIF(D9:AH9,"I")</f>
        <v/>
      </c>
      <c r="AN9" s="8">
        <f>COUNTIF(D9:AH9,"A")</f>
        <v/>
      </c>
      <c r="AO9" s="8">
        <f>SUM(AL9:AN9)</f>
        <v/>
      </c>
    </row>
    <row r="10" ht="12" customHeight="1" s="35">
      <c r="A10" s="9" t="n">
        <v>4</v>
      </c>
      <c r="B10" s="10">
        <f>IFERROR(VLOOKUP(A10&amp;$AJ$2,Data!$A$2:$AM$131,3,FALSE), "")</f>
        <v/>
      </c>
      <c r="C10" s="11">
        <f>IFERROR(VLOOKUP(A10&amp;$AJ$2,Data!$A$2:$AM$131,4,FALSE), "")</f>
        <v/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>
        <f>COUNTIF(D10:AH10,"S")</f>
        <v/>
      </c>
      <c r="AM10" s="8">
        <f>COUNTIF(D10:AH10,"I")</f>
        <v/>
      </c>
      <c r="AN10" s="8">
        <f>COUNTIF(D10:AH10,"A")</f>
        <v/>
      </c>
      <c r="AO10" s="8">
        <f>SUM(AL10:AN10)</f>
        <v/>
      </c>
    </row>
    <row r="11" ht="12" customHeight="1" s="35">
      <c r="A11" s="9" t="n">
        <v>5</v>
      </c>
      <c r="B11" s="10">
        <f>IFERROR(VLOOKUP(A11&amp;$AJ$2,Data!$A$2:$AM$131,3,FALSE), "")</f>
        <v/>
      </c>
      <c r="C11" s="11">
        <f>IFERROR(VLOOKUP(A11&amp;$AJ$2,Data!$A$2:$AM$131,4,FALSE), "")</f>
        <v/>
      </c>
      <c r="D11" s="8" t="inlineStr">
        <is>
          <t>I</t>
        </is>
      </c>
      <c r="E11" s="8" t="inlineStr">
        <is>
          <t>I</t>
        </is>
      </c>
      <c r="F11" s="8" t="n"/>
      <c r="G11" s="8" t="n"/>
      <c r="H11" s="8" t="n"/>
      <c r="I11" s="8" t="inlineStr">
        <is>
          <t>I</t>
        </is>
      </c>
      <c r="J11" s="8" t="inlineStr">
        <is>
          <t>I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>
        <f>COUNTIF(D11:AH11,"S")</f>
        <v/>
      </c>
      <c r="AM11" s="8">
        <f>COUNTIF(D11:AH11,"I")</f>
        <v/>
      </c>
      <c r="AN11" s="8">
        <f>COUNTIF(D11:AH11,"A")</f>
        <v/>
      </c>
      <c r="AO11" s="8">
        <f>SUM(AL11:AN11)</f>
        <v/>
      </c>
    </row>
    <row r="12" ht="12" customHeight="1" s="35">
      <c r="A12" s="9" t="n">
        <v>6</v>
      </c>
      <c r="B12" s="10">
        <f>IFERROR(VLOOKUP(A12&amp;$AJ$2,Data!$A$2:$AM$131,3,FALSE), "")</f>
        <v/>
      </c>
      <c r="C12" s="11">
        <f>IFERROR(VLOOKUP(A12&amp;$AJ$2,Data!$A$2:$AM$131,4,FALSE), "")</f>
        <v/>
      </c>
      <c r="D12" s="8" t="n"/>
      <c r="E12" s="8" t="inlineStr">
        <is>
          <t>.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>
        <f>COUNTIF(D12:AH12,"S")</f>
        <v/>
      </c>
      <c r="AM12" s="8">
        <f>COUNTIF(D12:AH12,"I")</f>
        <v/>
      </c>
      <c r="AN12" s="8">
        <f>COUNTIF(D12:AH12,"A")</f>
        <v/>
      </c>
      <c r="AO12" s="8">
        <f>SUM(AL12:AN12)</f>
        <v/>
      </c>
    </row>
    <row r="13" ht="12" customHeight="1" s="35">
      <c r="A13" s="9" t="n">
        <v>7</v>
      </c>
      <c r="B13" s="10">
        <f>IFERROR(VLOOKUP(A13&amp;$AJ$2,Data!$A$2:$AM$131,3,FALSE), "")</f>
        <v/>
      </c>
      <c r="C13" s="11">
        <f>IFERROR(VLOOKUP(A13&amp;$AJ$2,Data!$A$2:$AM$131,4,FALSE), "")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inlineStr">
        <is>
          <t>S</t>
        </is>
      </c>
      <c r="R13" s="8" t="inlineStr">
        <is>
          <t>S</t>
        </is>
      </c>
      <c r="S13" s="8" t="inlineStr">
        <is>
          <t>S</t>
        </is>
      </c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>
        <f>COUNTIF(D13:AH13,"S")</f>
        <v/>
      </c>
      <c r="AM13" s="8">
        <f>COUNTIF(D13:AH13,"I")</f>
        <v/>
      </c>
      <c r="AN13" s="8">
        <f>COUNTIF(D13:AH13,"A")</f>
        <v/>
      </c>
      <c r="AO13" s="8">
        <f>SUM(AL13:AN13)</f>
        <v/>
      </c>
    </row>
    <row r="14" ht="12" customHeight="1" s="35">
      <c r="A14" s="9" t="n">
        <v>8</v>
      </c>
      <c r="B14" s="10">
        <f>IFERROR(VLOOKUP(A14&amp;$AJ$2,Data!$A$2:$AM$131,3,FALSE), "")</f>
        <v/>
      </c>
      <c r="C14" s="11">
        <f>IFERROR(VLOOKUP(A14&amp;$AJ$2,Data!$A$2:$AM$131,4,FALSE), "")</f>
        <v/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>
        <f>COUNTIF(D14:AH14,"S")</f>
        <v/>
      </c>
      <c r="AM14" s="8">
        <f>COUNTIF(D14:AH14,"I")</f>
        <v/>
      </c>
      <c r="AN14" s="8">
        <f>COUNTIF(D14:AH14,"A")</f>
        <v/>
      </c>
      <c r="AO14" s="8">
        <f>SUM(AL14:AN14)</f>
        <v/>
      </c>
    </row>
    <row r="15" ht="12" customHeight="1" s="35">
      <c r="A15" s="9" t="n">
        <v>9</v>
      </c>
      <c r="B15" s="10">
        <f>IFERROR(VLOOKUP(A15&amp;$AJ$2,Data!$A$2:$AM$131,3,FALSE), "")</f>
        <v/>
      </c>
      <c r="C15" s="11">
        <f>IFERROR(VLOOKUP(A15&amp;$AJ$2,Data!$A$2:$AM$131,4,FALSE), "")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>
        <f>COUNTIF(D15:AH15,"S")</f>
        <v/>
      </c>
      <c r="AM15" s="8">
        <f>COUNTIF(D15:AH15,"I")</f>
        <v/>
      </c>
      <c r="AN15" s="8">
        <f>COUNTIF(D15:AH15,"A")</f>
        <v/>
      </c>
      <c r="AO15" s="8">
        <f>SUM(AL15:AN15)</f>
        <v/>
      </c>
    </row>
    <row r="16" ht="12" customHeight="1" s="35">
      <c r="A16" s="9" t="n">
        <v>10</v>
      </c>
      <c r="B16" s="10">
        <f>IFERROR(VLOOKUP(A16&amp;$AJ$2,Data!$A$2:$AM$131,3,FALSE), "")</f>
        <v/>
      </c>
      <c r="C16" s="11">
        <f>IFERROR(VLOOKUP(A16&amp;$AJ$2,Data!$A$2:$AM$131,4,FALSE), "")</f>
        <v/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>
        <f>COUNTIF(D16:AH16,"S")</f>
        <v/>
      </c>
      <c r="AM16" s="8">
        <f>COUNTIF(D16:AH16,"I")</f>
        <v/>
      </c>
      <c r="AN16" s="8">
        <f>COUNTIF(D16:AH16,"A")</f>
        <v/>
      </c>
      <c r="AO16" s="8">
        <f>SUM(AL16:AN16)</f>
        <v/>
      </c>
    </row>
    <row r="17" ht="12" customHeight="1" s="35">
      <c r="A17" s="9" t="n">
        <v>11</v>
      </c>
      <c r="B17" s="10">
        <f>IFERROR(VLOOKUP(A17&amp;$AJ$2,Data!$A$2:$AM$131,3,FALSE), "")</f>
        <v/>
      </c>
      <c r="C17" s="11">
        <f>IFERROR(VLOOKUP(A17&amp;$AJ$2,Data!$A$2:$AM$131,4,FALSE), "")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>
        <f>COUNTIF(D17:AH17,"S")</f>
        <v/>
      </c>
      <c r="AM17" s="8">
        <f>COUNTIF(D17:AH17,"I")</f>
        <v/>
      </c>
      <c r="AN17" s="8">
        <f>COUNTIF(D17:AH17,"A")</f>
        <v/>
      </c>
      <c r="AO17" s="8">
        <f>SUM(AL17:AN17)</f>
        <v/>
      </c>
    </row>
    <row r="18" ht="12" customHeight="1" s="35">
      <c r="A18" s="9" t="n">
        <v>12</v>
      </c>
      <c r="B18" s="10">
        <f>IFERROR(VLOOKUP(A18&amp;$AJ$2,Data!$A$2:$AM$131,3,FALSE), "")</f>
        <v/>
      </c>
      <c r="C18" s="11">
        <f>IFERROR(VLOOKUP(A18&amp;$AJ$2,Data!$A$2:$AM$131,4,FALSE), "")</f>
        <v/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>
        <f>COUNTIF(D18:AH18,"S")</f>
        <v/>
      </c>
      <c r="AM18" s="8">
        <f>COUNTIF(D18:AH18,"I")</f>
        <v/>
      </c>
      <c r="AN18" s="8">
        <f>COUNTIF(D18:AH18,"A")</f>
        <v/>
      </c>
      <c r="AO18" s="8">
        <f>SUM(AL18:AN18)</f>
        <v/>
      </c>
    </row>
    <row r="19" ht="12" customHeight="1" s="35">
      <c r="A19" s="9" t="n">
        <v>13</v>
      </c>
      <c r="B19" s="10">
        <f>IFERROR(VLOOKUP(A19&amp;$AJ$2,Data!$A$2:$AM$131,3,FALSE), "")</f>
        <v/>
      </c>
      <c r="C19" s="11">
        <f>IFERROR(VLOOKUP(A19&amp;$AJ$2,Data!$A$2:$AM$131,4,FALSE), "")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>
        <f>COUNTIF(D19:AH19,"S")</f>
        <v/>
      </c>
      <c r="AM19" s="8">
        <f>COUNTIF(D19:AH19,"I")</f>
        <v/>
      </c>
      <c r="AN19" s="8">
        <f>COUNTIF(D19:AH19,"A")</f>
        <v/>
      </c>
      <c r="AO19" s="8">
        <f>SUM(AL19:AN19)</f>
        <v/>
      </c>
    </row>
    <row r="20" ht="12" customHeight="1" s="35">
      <c r="A20" s="9" t="n">
        <v>14</v>
      </c>
      <c r="B20" s="10">
        <f>IFERROR(VLOOKUP(A20&amp;$AJ$2,Data!$A$2:$AM$131,3,FALSE), "")</f>
        <v/>
      </c>
      <c r="C20" s="11">
        <f>IFERROR(VLOOKUP(A20&amp;$AJ$2,Data!$A$2:$AM$131,4,FALSE), "")</f>
        <v/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>
        <f>COUNTIF(D20:AH20,"S")</f>
        <v/>
      </c>
      <c r="AM20" s="8">
        <f>COUNTIF(D20:AH20,"I")</f>
        <v/>
      </c>
      <c r="AN20" s="8">
        <f>COUNTIF(D20:AH20,"A")</f>
        <v/>
      </c>
      <c r="AO20" s="8">
        <f>SUM(AL20:AN20)</f>
        <v/>
      </c>
    </row>
    <row r="21" ht="12" customHeight="1" s="35">
      <c r="A21" s="9" t="n">
        <v>15</v>
      </c>
      <c r="B21" s="10">
        <f>IFERROR(VLOOKUP(A21&amp;$AJ$2,Data!$A$2:$AM$131,3,FALSE), "")</f>
        <v/>
      </c>
      <c r="C21" s="11">
        <f>IFERROR(VLOOKUP(A21&amp;$AJ$2,Data!$A$2:$AM$131,4,FALSE), "")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>
        <f>COUNTIF(D21:AH21,"S")</f>
        <v/>
      </c>
      <c r="AM21" s="8">
        <f>COUNTIF(D21:AH21,"I")</f>
        <v/>
      </c>
      <c r="AN21" s="8">
        <f>COUNTIF(D21:AH21,"A")</f>
        <v/>
      </c>
      <c r="AO21" s="8">
        <f>SUM(AL21:AN21)</f>
        <v/>
      </c>
    </row>
    <row r="22" ht="12" customHeight="1" s="35">
      <c r="A22" s="9" t="n">
        <v>16</v>
      </c>
      <c r="B22" s="10">
        <f>IFERROR(VLOOKUP(A22&amp;$AJ$2,Data!$A$2:$AM$131,3,FALSE), "")</f>
        <v/>
      </c>
      <c r="C22" s="11">
        <f>IFERROR(VLOOKUP(A22&amp;$AJ$2,Data!$A$2:$AM$131,4,FALSE), "")</f>
        <v/>
      </c>
      <c r="D22" s="8" t="n"/>
      <c r="E22" s="8" t="n"/>
      <c r="F22" s="8" t="n"/>
      <c r="G22" s="8" t="n"/>
      <c r="H22" s="8" t="n"/>
      <c r="I22" s="8" t="n"/>
      <c r="J22" s="8" t="inlineStr">
        <is>
          <t>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>
        <f>COUNTIF(D22:AH22,"S")</f>
        <v/>
      </c>
      <c r="AM22" s="8">
        <f>COUNTIF(D22:AH22,"I")</f>
        <v/>
      </c>
      <c r="AN22" s="8">
        <f>COUNTIF(D22:AH22,"A")</f>
        <v/>
      </c>
      <c r="AO22" s="8">
        <f>SUM(AL22:AN22)</f>
        <v/>
      </c>
    </row>
    <row r="23" ht="12" customHeight="1" s="35">
      <c r="A23" s="9" t="n">
        <v>17</v>
      </c>
      <c r="B23" s="10">
        <f>IFERROR(VLOOKUP(A23&amp;$AJ$2,Data!$A$2:$AM$131,3,FALSE), "")</f>
        <v/>
      </c>
      <c r="C23" s="11">
        <f>IFERROR(VLOOKUP(A23&amp;$AJ$2,Data!$A$2:$AM$131,4,FALSE), "")</f>
        <v/>
      </c>
      <c r="D23" s="8" t="n"/>
      <c r="E23" s="8" t="n"/>
      <c r="F23" s="8" t="n"/>
      <c r="G23" s="8" t="n"/>
      <c r="H23" s="8" t="n"/>
      <c r="I23" s="8" t="n"/>
      <c r="J23" s="8" t="inlineStr">
        <is>
          <t>I</t>
        </is>
      </c>
      <c r="K23" s="8" t="n"/>
      <c r="L23" s="8" t="n"/>
      <c r="M23" s="8" t="n"/>
      <c r="N23" s="8" t="n"/>
      <c r="O23" s="8" t="n"/>
      <c r="P23" s="8" t="inlineStr">
        <is>
          <t>S</t>
        </is>
      </c>
      <c r="Q23" s="8" t="inlineStr">
        <is>
          <t>S</t>
        </is>
      </c>
      <c r="R23" s="8" t="inlineStr">
        <is>
          <t>S</t>
        </is>
      </c>
      <c r="S23" s="8" t="inlineStr">
        <is>
          <t>S</t>
        </is>
      </c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>
        <f>COUNTIF(D23:AH23,"S")</f>
        <v/>
      </c>
      <c r="AM23" s="8">
        <f>COUNTIF(D23:AH23,"I")</f>
        <v/>
      </c>
      <c r="AN23" s="8">
        <f>COUNTIF(D23:AH23,"A")</f>
        <v/>
      </c>
      <c r="AO23" s="8">
        <f>SUM(AL23:AN23)</f>
        <v/>
      </c>
    </row>
    <row r="24" ht="12" customHeight="1" s="35">
      <c r="A24" s="9" t="n">
        <v>18</v>
      </c>
      <c r="B24" s="10">
        <f>IFERROR(VLOOKUP(A24&amp;$AJ$2,Data!$A$2:$AM$131,3,FALSE), "")</f>
        <v/>
      </c>
      <c r="C24" s="11">
        <f>IFERROR(VLOOKUP(A24&amp;$AJ$2,Data!$A$2:$AM$131,4,FALSE), "")</f>
        <v/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>
        <f>COUNTIF(D24:AH24,"S")</f>
        <v/>
      </c>
      <c r="AM24" s="8">
        <f>COUNTIF(D24:AH24,"I")</f>
        <v/>
      </c>
      <c r="AN24" s="8">
        <f>COUNTIF(D24:AH24,"A")</f>
        <v/>
      </c>
      <c r="AO24" s="8">
        <f>SUM(AL24:AN24)</f>
        <v/>
      </c>
    </row>
    <row r="25" ht="12" customHeight="1" s="35">
      <c r="A25" s="9" t="n">
        <v>19</v>
      </c>
      <c r="B25" s="10">
        <f>IFERROR(VLOOKUP(A25&amp;$AJ$2,Data!$A$2:$AM$131,3,FALSE), "")</f>
        <v/>
      </c>
      <c r="C25" s="11">
        <f>IFERROR(VLOOKUP(A25&amp;$AJ$2,Data!$A$2:$AM$131,4,FALSE), "")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>
        <f>COUNTIF(D25:AH25,"S")</f>
        <v/>
      </c>
      <c r="AM25" s="8">
        <f>COUNTIF(D25:AH25,"I")</f>
        <v/>
      </c>
      <c r="AN25" s="8">
        <f>COUNTIF(D25:AH25,"A")</f>
        <v/>
      </c>
      <c r="AO25" s="8">
        <f>SUM(AL25:AN25)</f>
        <v/>
      </c>
    </row>
    <row r="26" ht="12" customHeight="1" s="35">
      <c r="A26" s="9" t="n">
        <v>20</v>
      </c>
      <c r="B26" s="10">
        <f>IFERROR(VLOOKUP(A26&amp;$AJ$2,Data!$A$2:$AM$131,3,FALSE), "")</f>
        <v/>
      </c>
      <c r="C26" s="11">
        <f>IFERROR(VLOOKUP(A26&amp;$AJ$2,Data!$A$2:$AM$131,4,FALSE), "")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>
        <f>COUNTIF(D26:AH26,"S")</f>
        <v/>
      </c>
      <c r="AM26" s="8">
        <f>COUNTIF(D26:AH26,"I")</f>
        <v/>
      </c>
      <c r="AN26" s="8">
        <f>COUNTIF(D26:AH26,"A")</f>
        <v/>
      </c>
      <c r="AO26" s="8">
        <f>SUM(AL26:AN26)</f>
        <v/>
      </c>
    </row>
    <row r="27" ht="12" customHeight="1" s="35">
      <c r="A27" s="9" t="n">
        <v>21</v>
      </c>
      <c r="B27" s="10">
        <f>IFERROR(VLOOKUP(A27&amp;$AJ$2,Data!$A$2:$AM$131,3,FALSE), "")</f>
        <v/>
      </c>
      <c r="C27" s="11">
        <f>IFERROR(VLOOKUP(A27&amp;$AJ$2,Data!$A$2:$AM$131,4,FALSE), "")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>
        <f>COUNTIF(D27:AH27,"S")</f>
        <v/>
      </c>
      <c r="AM27" s="8">
        <f>COUNTIF(D27:AH27,"I")</f>
        <v/>
      </c>
      <c r="AN27" s="8">
        <f>COUNTIF(D27:AH27,"A")</f>
        <v/>
      </c>
      <c r="AO27" s="8">
        <f>SUM(AL27:AN27)</f>
        <v/>
      </c>
    </row>
    <row r="28" ht="12" customHeight="1" s="35">
      <c r="A28" s="9" t="n">
        <v>22</v>
      </c>
      <c r="B28" s="10">
        <f>IFERROR(VLOOKUP(A28&amp;$AJ$2,Data!$A$2:$AM$131,3,FALSE), "")</f>
        <v/>
      </c>
      <c r="C28" s="11">
        <f>IFERROR(VLOOKUP(A28&amp;$AJ$2,Data!$A$2:$AM$131,4,FALSE), "")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>
        <f>COUNTIF(D28:AH28,"S")</f>
        <v/>
      </c>
      <c r="AM28" s="8">
        <f>COUNTIF(D28:AH28,"I")</f>
        <v/>
      </c>
      <c r="AN28" s="8">
        <f>COUNTIF(D28:AH28,"A")</f>
        <v/>
      </c>
      <c r="AO28" s="8">
        <f>SUM(AL28:AN28)</f>
        <v/>
      </c>
    </row>
    <row r="29" ht="12" customHeight="1" s="35">
      <c r="A29" s="9" t="n">
        <v>23</v>
      </c>
      <c r="B29" s="10">
        <f>IFERROR(VLOOKUP(A29&amp;$AJ$2,Data!$A$2:$AM$131,3,FALSE), "")</f>
        <v/>
      </c>
      <c r="C29" s="11">
        <f>IFERROR(VLOOKUP(A29&amp;$AJ$2,Data!$A$2:$AM$131,4,FALSE), "")</f>
        <v/>
      </c>
      <c r="D29" s="8" t="n"/>
      <c r="E29" s="8" t="n"/>
      <c r="F29" s="8" t="n"/>
      <c r="G29" s="8" t="n"/>
      <c r="H29" s="8" t="n"/>
      <c r="I29" s="8" t="n"/>
      <c r="J29" s="8" t="n"/>
      <c r="K29" s="8" t="inlineStr">
        <is>
          <t>S</t>
        </is>
      </c>
      <c r="L29" s="8" t="inlineStr">
        <is>
          <t>S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>
        <f>COUNTIF(D29:AH29,"S")</f>
        <v/>
      </c>
      <c r="AM29" s="8">
        <f>COUNTIF(D29:AH29,"I")</f>
        <v/>
      </c>
      <c r="AN29" s="8">
        <f>COUNTIF(D29:AH29,"A")</f>
        <v/>
      </c>
      <c r="AO29" s="8">
        <f>SUM(AL29:AN29)</f>
        <v/>
      </c>
    </row>
    <row r="30" ht="12" customHeight="1" s="35">
      <c r="A30" s="9" t="n">
        <v>24</v>
      </c>
      <c r="B30" s="10">
        <f>IFERROR(VLOOKUP(A30&amp;$AJ$2,Data!$A$2:$AM$131,3,FALSE), "")</f>
        <v/>
      </c>
      <c r="C30" s="11">
        <f>IFERROR(VLOOKUP(A30&amp;$AJ$2,Data!$A$2:$AM$131,4,FALSE), "")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>
        <f>COUNTIF(D30:AH30,"S")</f>
        <v/>
      </c>
      <c r="AM30" s="8">
        <f>COUNTIF(D30:AH30,"I")</f>
        <v/>
      </c>
      <c r="AN30" s="8">
        <f>COUNTIF(D30:AH30,"A")</f>
        <v/>
      </c>
      <c r="AO30" s="8">
        <f>SUM(AL30:AN30)</f>
        <v/>
      </c>
    </row>
    <row r="31" ht="12" customHeight="1" s="35">
      <c r="A31" s="9" t="n">
        <v>25</v>
      </c>
      <c r="B31" s="10">
        <f>IFERROR(VLOOKUP(A31&amp;$AJ$2,Data!$A$2:$AM$131,3,FALSE), "")</f>
        <v/>
      </c>
      <c r="C31" s="11">
        <f>IFERROR(VLOOKUP(A31&amp;$AJ$2,Data!$A$2:$AM$131,4,FALSE), "")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inlineStr">
        <is>
          <t>S</t>
        </is>
      </c>
      <c r="Q31" s="8" t="inlineStr">
        <is>
          <t>S</t>
        </is>
      </c>
      <c r="R31" s="8" t="inlineStr">
        <is>
          <t>S</t>
        </is>
      </c>
      <c r="S31" s="8" t="inlineStr">
        <is>
          <t>S</t>
        </is>
      </c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>
        <f>COUNTIF(D31:AH31,"S")</f>
        <v/>
      </c>
      <c r="AM31" s="8">
        <f>COUNTIF(D31:AH31,"I")</f>
        <v/>
      </c>
      <c r="AN31" s="8">
        <f>COUNTIF(D31:AH31,"A")</f>
        <v/>
      </c>
      <c r="AO31" s="8">
        <f>SUM(AL31:AN31)</f>
        <v/>
      </c>
    </row>
    <row r="32" ht="12" customHeight="1" s="35">
      <c r="A32" s="9" t="n">
        <v>26</v>
      </c>
      <c r="B32" s="10">
        <f>IFERROR(VLOOKUP(A32&amp;$AJ$2,Data!$A$2:$AM$131,3,FALSE), "")</f>
        <v/>
      </c>
      <c r="C32" s="11">
        <f>IFERROR(VLOOKUP(A32&amp;$AJ$2,Data!$A$2:$AM$131,4,FALSE), "")</f>
        <v/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>
        <f>COUNTIF(D32:AH32,"S")</f>
        <v/>
      </c>
      <c r="AM32" s="8">
        <f>COUNTIF(D32:AH32,"I")</f>
        <v/>
      </c>
      <c r="AN32" s="8">
        <f>COUNTIF(D32:AH32,"A")</f>
        <v/>
      </c>
      <c r="AO32" s="8">
        <f>SUM(AL32:AN32)</f>
        <v/>
      </c>
    </row>
    <row r="33" ht="12" customHeight="1" s="35">
      <c r="A33" s="9" t="n">
        <v>27</v>
      </c>
      <c r="B33" s="10">
        <f>IFERROR(VLOOKUP(A33&amp;$AJ$2,Data!$A$2:$AM$131,3,FALSE), "")</f>
        <v/>
      </c>
      <c r="C33" s="11">
        <f>IFERROR(VLOOKUP(A33&amp;$AJ$2,Data!$A$2:$AM$131,4,FALSE), "")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>
        <f>COUNTIF(D33:AH33,"S")</f>
        <v/>
      </c>
      <c r="AM33" s="8">
        <f>COUNTIF(D33:AH33,"I")</f>
        <v/>
      </c>
      <c r="AN33" s="8">
        <f>COUNTIF(D33:AH33,"A")</f>
        <v/>
      </c>
      <c r="AO33" s="8">
        <f>SUM(AL33:AN33)</f>
        <v/>
      </c>
    </row>
    <row r="34" ht="12" customHeight="1" s="35">
      <c r="A34" s="9" t="n">
        <v>28</v>
      </c>
      <c r="B34" s="10">
        <f>IFERROR(VLOOKUP(A34&amp;$AJ$2,Data!$A$2:$AM$131,3,FALSE), "")</f>
        <v/>
      </c>
      <c r="C34" s="11">
        <f>IFERROR(VLOOKUP(A34&amp;$AJ$2,Data!$A$2:$AM$131,4,FALSE), "")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>
        <f>COUNTIF(D34:AH34,"S")</f>
        <v/>
      </c>
      <c r="AM34" s="8">
        <f>COUNTIF(D34:AH34,"I")</f>
        <v/>
      </c>
      <c r="AN34" s="8">
        <f>COUNTIF(D34:AH34,"A")</f>
        <v/>
      </c>
      <c r="AO34" s="8">
        <f>SUM(AL34:AN34)</f>
        <v/>
      </c>
    </row>
    <row r="35" ht="12" customHeight="1" s="35">
      <c r="A35" s="9" t="n">
        <v>29</v>
      </c>
      <c r="B35" s="10">
        <f>IFERROR(VLOOKUP(A35&amp;$AJ$2,Data!$A$2:$AM$131,3,FALSE), "")</f>
        <v/>
      </c>
      <c r="C35" s="11">
        <f>IFERROR(VLOOKUP(A35&amp;$AJ$2,Data!$A$2:$AM$131,4,FALSE), "")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>
        <f>COUNTIF(D35:AH35,"S")</f>
        <v/>
      </c>
      <c r="AM35" s="8">
        <f>COUNTIF(D35:AH35,"I")</f>
        <v/>
      </c>
      <c r="AN35" s="8">
        <f>COUNTIF(D35:AH35,"A")</f>
        <v/>
      </c>
      <c r="AO35" s="8">
        <f>SUM(AL35:AN35)</f>
        <v/>
      </c>
    </row>
    <row r="36" ht="12" customHeight="1" s="35">
      <c r="A36" s="9" t="n">
        <v>30</v>
      </c>
      <c r="B36" s="10">
        <f>IFERROR(VLOOKUP(A36&amp;$AJ$2,Data!$A$2:$AM$131,3,FALSE), "")</f>
        <v/>
      </c>
      <c r="C36" s="11">
        <f>IFERROR(VLOOKUP(A36&amp;$AJ$2,Data!$A$2:$AM$131,4,FALSE), "")</f>
        <v/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>
        <f>COUNTIF(D36:AH36,"S")</f>
        <v/>
      </c>
      <c r="AM36" s="8">
        <f>COUNTIF(D36:AH36,"I")</f>
        <v/>
      </c>
      <c r="AN36" s="8">
        <f>COUNTIF(D36:AH36,"A")</f>
        <v/>
      </c>
      <c r="AO36" s="8">
        <f>SUM(AL36:AN36)</f>
        <v/>
      </c>
    </row>
    <row r="37" ht="12" customHeight="1" s="35">
      <c r="A37" s="9" t="n">
        <v>31</v>
      </c>
      <c r="B37" s="10">
        <f>IFERROR(VLOOKUP(A37&amp;$AJ$2,Data!$A$2:$AM$131,3,FALSE), "")</f>
        <v/>
      </c>
      <c r="C37" s="11">
        <f>IFERROR(VLOOKUP(A37&amp;$AJ$2,Data!$A$2:$AM$131,4,FALSE), "")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>
        <f>COUNTIF(D37:AH37,"S")</f>
        <v/>
      </c>
      <c r="AM37" s="8">
        <f>COUNTIF(D37:AH37,"I")</f>
        <v/>
      </c>
      <c r="AN37" s="8">
        <f>COUNTIF(D37:AH37,"A")</f>
        <v/>
      </c>
      <c r="AO37" s="8">
        <f>SUM(AL37:AN37)</f>
        <v/>
      </c>
    </row>
    <row r="38" ht="12" customHeight="1" s="35">
      <c r="A38" s="9" t="n">
        <v>32</v>
      </c>
      <c r="B38" s="10">
        <f>IFERROR(VLOOKUP(A38&amp;$AJ$2,Data!$A$2:$AM$131,3,FALSE), "")</f>
        <v/>
      </c>
      <c r="C38" s="11">
        <f>IFERROR(VLOOKUP(A38&amp;$AJ$2,Data!$A$2:$AM$131,4,FALSE), "")</f>
        <v/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>
        <f>COUNTIF(D38:AH38,"S")</f>
        <v/>
      </c>
      <c r="AM38" s="8">
        <f>COUNTIF(D38:AH38,"I")</f>
        <v/>
      </c>
      <c r="AN38" s="8">
        <f>COUNTIF(D38:AH38,"A")</f>
        <v/>
      </c>
      <c r="AO38" s="8">
        <f>SUM(AL38:AN38)</f>
        <v/>
      </c>
    </row>
    <row r="39" ht="12" customHeight="1" s="35">
      <c r="A39" s="9" t="n">
        <v>33</v>
      </c>
      <c r="B39" s="10">
        <f>IFERROR(VLOOKUP(A39&amp;$AJ$2,Data!$A$2:$AM$131,3,FALSE), "")</f>
        <v/>
      </c>
      <c r="C39" s="11">
        <f>IFERROR(VLOOKUP(A39&amp;$AJ$2,Data!$A$2:$AM$131,4,FALSE), "")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>
        <f>COUNTIF(D39:AH39,"S")</f>
        <v/>
      </c>
      <c r="AM39" s="8">
        <f>COUNTIF(D39:AH39,"I")</f>
        <v/>
      </c>
      <c r="AN39" s="8">
        <f>COUNTIF(D39:AH39,"A")</f>
        <v/>
      </c>
      <c r="AO39" s="8">
        <f>SUM(AL39:AN39)</f>
        <v/>
      </c>
    </row>
    <row r="40" ht="12" customHeight="1" s="35">
      <c r="A40" s="9" t="n">
        <v>34</v>
      </c>
      <c r="B40" s="10">
        <f>IFERROR(VLOOKUP(A40&amp;$AJ$2,Data!$A$2:$AM$131,3,FALSE), "")</f>
        <v/>
      </c>
      <c r="C40" s="11">
        <f>IFERROR(VLOOKUP(A40&amp;$AJ$2,Data!$A$2:$AM$131,4,FALSE), "")</f>
        <v/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>
        <f>COUNTIF(D40:AH40,"S")</f>
        <v/>
      </c>
      <c r="AM40" s="8">
        <f>COUNTIF(D40:AH40,"I")</f>
        <v/>
      </c>
      <c r="AN40" s="8">
        <f>COUNTIF(D40:AH40,"A")</f>
        <v/>
      </c>
      <c r="AO40" s="8">
        <f>SUM(AL40:AN40)</f>
        <v/>
      </c>
    </row>
    <row r="41" ht="12" customHeight="1" s="35">
      <c r="A41" s="9" t="n">
        <v>35</v>
      </c>
      <c r="B41" s="10">
        <f>IFERROR(VLOOKUP(A41&amp;$AJ$2,Data!$A$2:$AM$131,3,FALSE), "")</f>
        <v/>
      </c>
      <c r="C41" s="11">
        <f>IFERROR(VLOOKUP(A41&amp;$AJ$2,Data!$A$2:$AM$131,4,FALSE), "")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>
        <f>COUNTIF(D41:AH41,"S")</f>
        <v/>
      </c>
      <c r="AM41" s="8">
        <f>COUNTIF(D41:AH41,"I")</f>
        <v/>
      </c>
      <c r="AN41" s="8">
        <f>COUNTIF(D41:AH41,"A")</f>
        <v/>
      </c>
      <c r="AO41" s="8">
        <f>SUM(AL41:AN41)</f>
        <v/>
      </c>
    </row>
    <row r="42" ht="12" customHeight="1" s="35">
      <c r="A42" s="9" t="n">
        <v>36</v>
      </c>
      <c r="B42" s="10">
        <f>IFERROR(VLOOKUP(A42&amp;$AJ$2,Data!$A$2:$AM$131,3,FALSE), "")</f>
        <v/>
      </c>
      <c r="C42" s="11">
        <f>IFERROR(VLOOKUP(A42&amp;$AJ$2,Data!$A$2:$AM$131,4,FALSE), "")</f>
        <v/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>
        <f>COUNTIF(D42:AH42,"S")</f>
        <v/>
      </c>
      <c r="AM42" s="8">
        <f>COUNTIF(D42:AH42,"I")</f>
        <v/>
      </c>
      <c r="AN42" s="8">
        <f>COUNTIF(D42:AH42,"A")</f>
        <v/>
      </c>
      <c r="AO42" s="8">
        <f>SUM(AL42:AN42)</f>
        <v/>
      </c>
    </row>
    <row r="43" ht="14.25" customHeight="1" s="35">
      <c r="A43" s="9" t="n">
        <v>37</v>
      </c>
      <c r="B43" s="10">
        <f>IFERROR(VLOOKUP(A43&amp;$AJ$2,Data!$A$2:$AM$131,3,FALSE), "")</f>
        <v/>
      </c>
      <c r="C43" s="11">
        <f>IFERROR(VLOOKUP(A43&amp;$AJ$2,Data!$A$2:$AM$131,4,FALSE), "")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>
        <f>COUNTIF(D43:AH43,"S")</f>
        <v/>
      </c>
      <c r="AM43" s="8">
        <f>COUNTIF(D43:AH43,"I")</f>
        <v/>
      </c>
      <c r="AN43" s="8">
        <f>COUNTIF(D43:AH43,"A")</f>
        <v/>
      </c>
      <c r="AO43" s="8">
        <f>SUM(AL43:AN43)</f>
        <v/>
      </c>
    </row>
    <row r="44" ht="14.25" customHeight="1" s="35">
      <c r="A44" s="9" t="n">
        <v>38</v>
      </c>
      <c r="B44" s="10">
        <f>IFERROR(VLOOKUP(A44&amp;$AJ$2,Data!$A$2:$AM$131,3,FALSE), "")</f>
        <v/>
      </c>
      <c r="C44" s="11">
        <f>IFERROR(VLOOKUP(A44&amp;$AJ$2,Data!$A$2:$AM$131,4,FALSE), "")</f>
        <v/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>
        <f>COUNTIF(D44:AH44,"S")</f>
        <v/>
      </c>
      <c r="AM44" s="8">
        <f>COUNTIF(D44:AH44,"I")</f>
        <v/>
      </c>
      <c r="AN44" s="8">
        <f>COUNTIF(D44:AH44,"A")</f>
        <v/>
      </c>
      <c r="AO44" s="8">
        <f>SUM(AL44:AN44)</f>
        <v/>
      </c>
    </row>
    <row r="45" ht="14.25" customHeight="1" s="35">
      <c r="A45" s="9" t="n">
        <v>39</v>
      </c>
      <c r="B45" s="10">
        <f>IFERROR(VLOOKUP(A45&amp;$AJ$2,Data!$A$2:$AM$131,3,FALSE), "")</f>
        <v/>
      </c>
      <c r="C45" s="11">
        <f>IFERROR(VLOOKUP(A45&amp;$AJ$2,Data!$A$2:$AM$131,4,FALSE), "")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>
        <f>COUNTIF(D45:AH45,"S")</f>
        <v/>
      </c>
      <c r="AM45" s="8">
        <f>COUNTIF(D45:AH45,"I")</f>
        <v/>
      </c>
      <c r="AN45" s="8">
        <f>COUNTIF(D45:AH45,"A")</f>
        <v/>
      </c>
      <c r="AO45" s="8">
        <f>SUM(AL45:AN45)</f>
        <v/>
      </c>
    </row>
    <row r="46" ht="14.25" customHeight="1" s="35">
      <c r="A46" s="9" t="n">
        <v>40</v>
      </c>
      <c r="B46" s="10">
        <f>IFERROR(VLOOKUP(A46&amp;$AJ$2,Data!$A$2:$AM$131,3,FALSE), "")</f>
        <v/>
      </c>
      <c r="C46" s="11">
        <f>IFERROR(VLOOKUP(A46&amp;$AJ$2,Data!$A$2:$AM$131,4,FALSE), "")</f>
        <v/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>
        <f>COUNTIF(D46:AH46,"S")</f>
        <v/>
      </c>
      <c r="AM46" s="8">
        <f>COUNTIF(D46:AH46,"I")</f>
        <v/>
      </c>
      <c r="AN46" s="8">
        <f>COUNTIF(D46:AH46,"A")</f>
        <v/>
      </c>
      <c r="AO46" s="8">
        <f>SUM(AL46:AN46)</f>
        <v/>
      </c>
    </row>
    <row r="47" ht="14.25" customHeight="1" s="35"/>
    <row r="48" ht="14.25" customHeight="1" s="35"/>
    <row r="49" ht="14.25" customHeight="1" s="35">
      <c r="C49" s="3" t="inlineStr">
        <is>
          <t>S</t>
        </is>
      </c>
      <c r="D49" s="15">
        <f>COUNTIF(D7:D47,"S")</f>
        <v/>
      </c>
      <c r="E49" s="15">
        <f>COUNTIF(E7:E47,"S")</f>
        <v/>
      </c>
      <c r="F49" s="15">
        <f>COUNTIF(F7:F47,"S")</f>
        <v/>
      </c>
      <c r="G49" s="15">
        <f>COUNTIF(G7:G47,"S")</f>
        <v/>
      </c>
      <c r="H49" s="15">
        <f>COUNTIF(H7:H47,"S")</f>
        <v/>
      </c>
      <c r="I49" s="15">
        <f>COUNTIF(I7:I47,"S")</f>
        <v/>
      </c>
      <c r="J49" s="15">
        <f>COUNTIF(J7:J47,"S")</f>
        <v/>
      </c>
      <c r="K49" s="15">
        <f>COUNTIF(K7:K47,"S")</f>
        <v/>
      </c>
      <c r="L49" s="15">
        <f>COUNTIF(L7:L47,"S")</f>
        <v/>
      </c>
      <c r="M49" s="15">
        <f>COUNTIF(M7:M47,"S")</f>
        <v/>
      </c>
      <c r="N49" s="15">
        <f>COUNTIF(N7:N47,"S")</f>
        <v/>
      </c>
      <c r="O49" s="15">
        <f>COUNTIF(O7:O47,"S")</f>
        <v/>
      </c>
      <c r="P49" s="15">
        <f>COUNTIF(P7:P47,"S")</f>
        <v/>
      </c>
      <c r="Q49" s="15">
        <f>COUNTIF(Q7:Q47,"S")</f>
        <v/>
      </c>
      <c r="R49" s="15">
        <f>COUNTIF(R7:R47,"S")</f>
        <v/>
      </c>
      <c r="S49" s="15">
        <f>COUNTIF(S7:S47,"S")</f>
        <v/>
      </c>
      <c r="T49" s="15">
        <f>COUNTIF(T7:T47,"S")</f>
        <v/>
      </c>
      <c r="U49" s="15">
        <f>COUNTIF(U7:U47,"S")</f>
        <v/>
      </c>
      <c r="V49" s="15">
        <f>COUNTIF(V7:V47,"S")</f>
        <v/>
      </c>
      <c r="W49" s="15">
        <f>COUNTIF(W7:W47,"S")</f>
        <v/>
      </c>
      <c r="X49" s="15">
        <f>COUNTIF(X7:X47,"S")</f>
        <v/>
      </c>
      <c r="Y49" s="15">
        <f>COUNTIF(Y7:Y47,"S")</f>
        <v/>
      </c>
      <c r="Z49" s="15">
        <f>COUNTIF(Z7:Z47,"S")</f>
        <v/>
      </c>
      <c r="AA49" s="15">
        <f>COUNTIF(AA7:AA47,"S")</f>
        <v/>
      </c>
      <c r="AB49" s="15">
        <f>COUNTIF(AB7:AB47,"S")</f>
        <v/>
      </c>
      <c r="AC49" s="15">
        <f>COUNTIF(AC7:AC47,"S")</f>
        <v/>
      </c>
      <c r="AD49" s="15">
        <f>COUNTIF(AD7:AD47,"S")</f>
        <v/>
      </c>
      <c r="AE49" s="15">
        <f>COUNTIF(AE7:AE47,"S")</f>
        <v/>
      </c>
      <c r="AF49" s="15">
        <f>COUNTIF(AF7:AF47,"S")</f>
        <v/>
      </c>
      <c r="AG49" s="15">
        <f>COUNTIF(AG7:AG47,"S")</f>
        <v/>
      </c>
      <c r="AH49" s="15">
        <f>COUNTIF(AH7:AH47,"S")</f>
        <v/>
      </c>
    </row>
    <row r="50" ht="14.25" customHeight="1" s="35">
      <c r="C50" s="3" t="inlineStr">
        <is>
          <t>I</t>
        </is>
      </c>
      <c r="D50" s="15">
        <f>COUNTIF(D7:D47,"I")</f>
        <v/>
      </c>
      <c r="E50" s="15">
        <f>COUNTIF(E7:E47,"I")</f>
        <v/>
      </c>
      <c r="F50" s="15">
        <f>COUNTIF(F7:F47,"I")</f>
        <v/>
      </c>
      <c r="G50" s="15">
        <f>COUNTIF(G7:G47,"I")</f>
        <v/>
      </c>
      <c r="H50" s="15">
        <f>COUNTIF(H7:H47,"I")</f>
        <v/>
      </c>
      <c r="I50" s="15">
        <f>COUNTIF(I7:I47,"I")</f>
        <v/>
      </c>
      <c r="J50" s="15">
        <f>COUNTIF(J7:J47,"I")</f>
        <v/>
      </c>
      <c r="K50" s="15">
        <f>COUNTIF(K7:K47,"I")</f>
        <v/>
      </c>
      <c r="L50" s="15">
        <f>COUNTIF(L7:L47,"I")</f>
        <v/>
      </c>
      <c r="M50" s="15">
        <f>COUNTIF(M7:M47,"I")</f>
        <v/>
      </c>
      <c r="N50" s="15">
        <f>COUNTIF(N7:N47,"I")</f>
        <v/>
      </c>
      <c r="O50" s="15">
        <f>COUNTIF(O7:O47,"I")</f>
        <v/>
      </c>
      <c r="P50" s="15">
        <f>COUNTIF(P7:P47,"I")</f>
        <v/>
      </c>
      <c r="Q50" s="15">
        <f>COUNTIF(Q7:Q47,"I")</f>
        <v/>
      </c>
      <c r="R50" s="15">
        <f>COUNTIF(R7:R47,"I")</f>
        <v/>
      </c>
      <c r="S50" s="15">
        <f>COUNTIF(S7:S47,"I")</f>
        <v/>
      </c>
      <c r="T50" s="15">
        <f>COUNTIF(T7:T47,"I")</f>
        <v/>
      </c>
      <c r="U50" s="15">
        <f>COUNTIF(U7:U47,"I")</f>
        <v/>
      </c>
      <c r="V50" s="15">
        <f>COUNTIF(V7:V47,"I")</f>
        <v/>
      </c>
      <c r="W50" s="15">
        <f>COUNTIF(W7:W47,"I")</f>
        <v/>
      </c>
      <c r="X50" s="15">
        <f>COUNTIF(X7:X47,"I")</f>
        <v/>
      </c>
      <c r="Y50" s="15">
        <f>COUNTIF(Y7:Y47,"I")</f>
        <v/>
      </c>
      <c r="Z50" s="15">
        <f>COUNTIF(Z7:Z47,"I")</f>
        <v/>
      </c>
      <c r="AA50" s="15">
        <f>COUNTIF(AA7:AA47,"I")</f>
        <v/>
      </c>
      <c r="AB50" s="15">
        <f>COUNTIF(AB7:AB47,"I")</f>
        <v/>
      </c>
      <c r="AC50" s="15">
        <f>COUNTIF(AC7:AC47,"I")</f>
        <v/>
      </c>
      <c r="AD50" s="15">
        <f>COUNTIF(AD7:AD47,"I")</f>
        <v/>
      </c>
      <c r="AE50" s="15">
        <f>COUNTIF(AE7:AE47,"I")</f>
        <v/>
      </c>
      <c r="AF50" s="15">
        <f>COUNTIF(AF7:AF47,"I")</f>
        <v/>
      </c>
      <c r="AG50" s="15">
        <f>COUNTIF(AG7:AG47,"I")</f>
        <v/>
      </c>
      <c r="AH50" s="15">
        <f>COUNTIF(AH7:AH47,"I")</f>
        <v/>
      </c>
    </row>
    <row r="51" ht="14.25" customHeight="1" s="35">
      <c r="C51" s="3" t="inlineStr">
        <is>
          <t>A</t>
        </is>
      </c>
      <c r="D51" s="15">
        <f>COUNTIF(D7:D47,"A")</f>
        <v/>
      </c>
      <c r="E51" s="15">
        <f>COUNTIF(E7:E47,"A")</f>
        <v/>
      </c>
      <c r="F51" s="15">
        <f>COUNTIF(F7:F47,"A")</f>
        <v/>
      </c>
      <c r="G51" s="15">
        <f>COUNTIF(G7:G47,"A")</f>
        <v/>
      </c>
      <c r="H51" s="15">
        <f>COUNTIF(H7:H47,"A")</f>
        <v/>
      </c>
      <c r="I51" s="15">
        <f>COUNTIF(I7:I47,"A")</f>
        <v/>
      </c>
      <c r="J51" s="15">
        <f>COUNTIF(J7:J47,"A")</f>
        <v/>
      </c>
      <c r="K51" s="15">
        <f>COUNTIF(K7:K47,"A")</f>
        <v/>
      </c>
      <c r="L51" s="15">
        <f>COUNTIF(L7:L47,"A")</f>
        <v/>
      </c>
      <c r="M51" s="15">
        <f>COUNTIF(M7:M47,"A")</f>
        <v/>
      </c>
      <c r="N51" s="15">
        <f>COUNTIF(N7:N47,"A")</f>
        <v/>
      </c>
      <c r="O51" s="15">
        <f>COUNTIF(O7:O47,"A")</f>
        <v/>
      </c>
      <c r="P51" s="15">
        <f>COUNTIF(P7:P47,"A")</f>
        <v/>
      </c>
      <c r="Q51" s="15">
        <f>COUNTIF(Q7:Q47,"A")</f>
        <v/>
      </c>
      <c r="R51" s="15">
        <f>COUNTIF(R7:R47,"A")</f>
        <v/>
      </c>
      <c r="S51" s="15">
        <f>COUNTIF(S7:S47,"A")</f>
        <v/>
      </c>
      <c r="T51" s="15">
        <f>COUNTIF(T7:T47,"A")</f>
        <v/>
      </c>
      <c r="U51" s="15">
        <f>COUNTIF(U7:U47,"A")</f>
        <v/>
      </c>
      <c r="V51" s="15">
        <f>COUNTIF(V7:V47,"A")</f>
        <v/>
      </c>
      <c r="W51" s="15">
        <f>COUNTIF(W7:W47,"A")</f>
        <v/>
      </c>
      <c r="X51" s="15">
        <f>COUNTIF(X7:X47,"A")</f>
        <v/>
      </c>
      <c r="Y51" s="15">
        <f>COUNTIF(Y7:Y47,"A")</f>
        <v/>
      </c>
      <c r="Z51" s="15">
        <f>COUNTIF(Z7:Z47,"A")</f>
        <v/>
      </c>
      <c r="AA51" s="15">
        <f>COUNTIF(AA7:AA47,"A")</f>
        <v/>
      </c>
      <c r="AB51" s="15">
        <f>COUNTIF(AB7:AB47,"A")</f>
        <v/>
      </c>
      <c r="AC51" s="15">
        <f>COUNTIF(AC7:AC47,"A")</f>
        <v/>
      </c>
      <c r="AD51" s="15">
        <f>COUNTIF(AD7:AD47,"A")</f>
        <v/>
      </c>
      <c r="AE51" s="15">
        <f>COUNTIF(AE7:AE47,"A")</f>
        <v/>
      </c>
      <c r="AF51" s="15">
        <f>COUNTIF(AF7:AF47,"A")</f>
        <v/>
      </c>
      <c r="AG51" s="15">
        <f>COUNTIF(AG7:AG47,"A")</f>
        <v/>
      </c>
      <c r="AH51" s="15">
        <f>COUNTIF(AH7:AH47,"A")</f>
        <v/>
      </c>
    </row>
    <row r="52" ht="14.25" customHeight="1" s="35"/>
    <row r="53" ht="14.25" customHeight="1" s="35"/>
    <row r="54" ht="14.25" customHeight="1" s="35"/>
    <row r="55" ht="14.25" customHeight="1" s="35"/>
    <row r="56" ht="14.25" customHeight="1" s="35"/>
    <row r="57" ht="14.25" customHeight="1" s="35"/>
    <row r="58" ht="14.25" customHeight="1" s="35"/>
    <row r="59" ht="14.25" customHeight="1" s="35"/>
    <row r="60" ht="14.25" customHeight="1" s="35"/>
    <row r="61" ht="14.25" customHeight="1" s="35"/>
    <row r="62" ht="14.25" customHeight="1" s="35"/>
    <row r="63" ht="14.25" customHeight="1" s="35"/>
    <row r="64" ht="14.25" customHeight="1" s="35"/>
    <row r="65" ht="14.25" customHeight="1" s="35"/>
    <row r="66" ht="14.25" customHeight="1" s="35"/>
    <row r="67" ht="14.25" customHeight="1" s="35"/>
    <row r="68" ht="14.25" customHeight="1" s="35"/>
    <row r="69" ht="14.25" customHeight="1" s="35"/>
    <row r="70" ht="14.25" customHeight="1" s="35"/>
    <row r="71" ht="14.25" customHeight="1" s="35"/>
    <row r="72" ht="14.25" customHeight="1" s="35"/>
    <row r="73" ht="14.25" customHeight="1" s="35"/>
    <row r="74" ht="14.25" customHeight="1" s="35"/>
    <row r="75" ht="14.25" customHeight="1" s="35"/>
    <row r="76" ht="14.25" customHeight="1" s="35"/>
    <row r="77" ht="14.25" customHeight="1" s="35"/>
    <row r="78" ht="14.25" customHeight="1" s="35"/>
    <row r="79" ht="14.25" customHeight="1" s="35"/>
    <row r="80" ht="14.25" customHeight="1" s="35"/>
    <row r="81" ht="14.25" customHeight="1" s="35"/>
    <row r="82" ht="14.25" customHeight="1" s="35"/>
    <row r="83" ht="14.25" customHeight="1" s="35"/>
    <row r="84" ht="14.25" customHeight="1" s="35"/>
    <row r="85" ht="14.25" customHeight="1" s="35"/>
    <row r="86" ht="14.25" customHeight="1" s="35"/>
    <row r="87" ht="14.25" customHeight="1" s="35"/>
    <row r="88" ht="14.25" customHeight="1" s="35"/>
    <row r="89" ht="14.25" customHeight="1" s="35"/>
    <row r="90" ht="14.25" customHeight="1" s="35"/>
    <row r="91" ht="14.25" customHeight="1" s="35"/>
    <row r="92" ht="14.25" customHeight="1" s="35"/>
    <row r="93" ht="14.25" customHeight="1" s="35"/>
    <row r="94" ht="14.25" customHeight="1" s="35"/>
    <row r="95" ht="14.25" customHeight="1" s="35"/>
    <row r="96" ht="14.25" customHeight="1" s="35"/>
    <row r="97" ht="14.25" customHeight="1" s="35"/>
    <row r="98" ht="14.25" customHeight="1" s="35"/>
    <row r="99" ht="14.25" customHeight="1" s="35"/>
    <row r="100" ht="14.25" customHeight="1" s="35"/>
    <row r="101" ht="14.25" customHeight="1" s="35"/>
    <row r="102" ht="14.25" customHeight="1" s="35"/>
    <row r="103" ht="14.25" customHeight="1" s="35"/>
    <row r="104" ht="14.25" customHeight="1" s="35"/>
    <row r="105" ht="14.25" customHeight="1" s="35"/>
    <row r="106" ht="14.25" customHeight="1" s="35"/>
    <row r="107" ht="14.25" customHeight="1" s="35"/>
    <row r="108" ht="14.25" customHeight="1" s="35"/>
    <row r="109" ht="14.25" customHeight="1" s="35"/>
    <row r="110" ht="14.25" customHeight="1" s="35"/>
    <row r="111" ht="14.25" customHeight="1" s="35"/>
    <row r="112" ht="14.25" customHeight="1" s="35"/>
    <row r="113" ht="14.25" customHeight="1" s="35"/>
    <row r="114" ht="14.25" customHeight="1" s="35"/>
    <row r="115" ht="14.25" customHeight="1" s="35"/>
    <row r="116" ht="14.25" customHeight="1" s="35"/>
    <row r="117" ht="14.25" customHeight="1" s="35"/>
    <row r="118" ht="14.25" customHeight="1" s="35"/>
    <row r="119" ht="14.25" customHeight="1" s="35"/>
    <row r="120" ht="14.25" customHeight="1" s="35"/>
    <row r="121" ht="14.25" customHeight="1" s="35"/>
    <row r="122" ht="14.25" customHeight="1" s="35"/>
    <row r="123" ht="14.25" customHeight="1" s="35"/>
    <row r="124" ht="14.25" customHeight="1" s="35"/>
    <row r="125" ht="14.25" customHeight="1" s="35"/>
    <row r="126" ht="14.25" customHeight="1" s="35"/>
    <row r="127" ht="14.25" customHeight="1" s="35"/>
    <row r="128" ht="14.25" customHeight="1" s="35"/>
    <row r="129" ht="14.25" customHeight="1" s="35"/>
    <row r="130" ht="14.25" customHeight="1" s="35"/>
    <row r="131" ht="14.25" customHeight="1" s="35"/>
    <row r="132" ht="14.25" customHeight="1" s="35"/>
    <row r="133" ht="14.25" customHeight="1" s="35"/>
    <row r="134" ht="14.25" customHeight="1" s="35"/>
    <row r="135" ht="14.25" customHeight="1" s="35"/>
    <row r="136" ht="14.25" customHeight="1" s="35"/>
    <row r="137" ht="14.25" customHeight="1" s="35"/>
    <row r="138" ht="14.25" customHeight="1" s="35"/>
    <row r="139" ht="14.25" customHeight="1" s="35"/>
    <row r="140" ht="14.25" customHeight="1" s="35"/>
    <row r="141" ht="14.25" customHeight="1" s="35"/>
    <row r="142" ht="14.25" customHeight="1" s="35"/>
    <row r="143" ht="14.25" customHeight="1" s="35"/>
    <row r="144" ht="14.25" customHeight="1" s="35"/>
    <row r="145" ht="14.25" customHeight="1" s="35"/>
    <row r="146" ht="14.25" customHeight="1" s="35"/>
    <row r="147" ht="14.25" customHeight="1" s="35"/>
    <row r="148" ht="14.25" customHeight="1" s="35"/>
    <row r="149" ht="14.25" customHeight="1" s="35"/>
    <row r="150" ht="14.25" customHeight="1" s="35"/>
    <row r="151" ht="14.25" customHeight="1" s="35"/>
    <row r="152" ht="14.25" customHeight="1" s="35"/>
    <row r="153" ht="14.25" customHeight="1" s="35"/>
    <row r="154" ht="14.25" customHeight="1" s="35"/>
    <row r="155" ht="14.25" customHeight="1" s="35"/>
    <row r="156" ht="14.25" customHeight="1" s="35"/>
    <row r="157" ht="14.25" customHeight="1" s="35"/>
    <row r="158" ht="14.25" customHeight="1" s="35"/>
    <row r="159" ht="14.25" customHeight="1" s="35"/>
    <row r="160" ht="14.25" customHeight="1" s="35"/>
    <row r="161" ht="14.25" customHeight="1" s="35"/>
    <row r="162" ht="14.25" customHeight="1" s="35"/>
    <row r="163" ht="14.25" customHeight="1" s="35"/>
    <row r="164" ht="14.25" customHeight="1" s="35"/>
    <row r="165" ht="14.25" customHeight="1" s="35"/>
    <row r="166" ht="14.25" customHeight="1" s="35"/>
    <row r="167" ht="14.25" customHeight="1" s="35"/>
    <row r="168" ht="14.25" customHeight="1" s="35"/>
    <row r="169" ht="14.25" customHeight="1" s="35"/>
    <row r="170" ht="14.25" customHeight="1" s="35"/>
    <row r="171" ht="14.25" customHeight="1" s="35"/>
    <row r="172" ht="14.25" customHeight="1" s="35"/>
    <row r="173" ht="14.25" customHeight="1" s="35"/>
    <row r="174" ht="14.25" customHeight="1" s="35"/>
    <row r="175" ht="14.25" customHeight="1" s="35"/>
    <row r="176" ht="14.25" customHeight="1" s="35"/>
    <row r="177" ht="14.25" customHeight="1" s="35"/>
    <row r="178" ht="14.25" customHeight="1" s="35"/>
    <row r="179" ht="14.25" customHeight="1" s="35"/>
    <row r="180" ht="14.25" customHeight="1" s="35"/>
    <row r="181" ht="14.25" customHeight="1" s="35"/>
    <row r="182" ht="14.25" customHeight="1" s="35"/>
    <row r="183" ht="14.25" customHeight="1" s="35"/>
    <row r="184" ht="14.25" customHeight="1" s="35"/>
    <row r="185" ht="14.25" customHeight="1" s="35"/>
    <row r="186" ht="14.25" customHeight="1" s="35"/>
    <row r="187" ht="14.25" customHeight="1" s="35"/>
    <row r="188" ht="14.25" customHeight="1" s="35"/>
    <row r="189" ht="14.25" customHeight="1" s="35"/>
    <row r="190" ht="14.25" customHeight="1" s="35"/>
    <row r="191" ht="14.25" customHeight="1" s="35"/>
    <row r="192" ht="14.25" customHeight="1" s="35"/>
    <row r="193" ht="14.25" customHeight="1" s="35"/>
    <row r="194" ht="14.25" customHeight="1" s="35"/>
    <row r="195" ht="14.25" customHeight="1" s="35"/>
    <row r="196" ht="14.25" customHeight="1" s="35"/>
    <row r="197" ht="14.25" customHeight="1" s="35"/>
    <row r="198" ht="14.25" customHeight="1" s="35"/>
    <row r="199" ht="14.25" customHeight="1" s="35"/>
    <row r="200" ht="14.25" customHeight="1" s="35"/>
    <row r="201" ht="14.25" customHeight="1" s="35"/>
    <row r="202" ht="14.25" customHeight="1" s="35"/>
    <row r="203" ht="14.25" customHeight="1" s="35"/>
    <row r="204" ht="14.25" customHeight="1" s="35"/>
    <row r="205" ht="14.25" customHeight="1" s="35"/>
    <row r="206" ht="14.25" customHeight="1" s="35"/>
    <row r="207" ht="14.25" customHeight="1" s="35"/>
    <row r="208" ht="14.25" customHeight="1" s="35"/>
    <row r="209" ht="14.25" customHeight="1" s="35"/>
    <row r="210" ht="14.25" customHeight="1" s="35"/>
    <row r="211" ht="14.25" customHeight="1" s="35"/>
    <row r="212" ht="14.25" customHeight="1" s="35"/>
    <row r="213" ht="14.25" customHeight="1" s="35"/>
    <row r="214" ht="14.25" customHeight="1" s="35"/>
    <row r="215" ht="14.25" customHeight="1" s="35"/>
    <row r="216" ht="14.25" customHeight="1" s="35"/>
    <row r="217" ht="14.25" customHeight="1" s="35"/>
    <row r="218" ht="14.25" customHeight="1" s="35"/>
    <row r="219" ht="14.25" customHeight="1" s="35"/>
    <row r="220" ht="14.25" customHeight="1" s="35"/>
    <row r="221" ht="14.25" customHeight="1" s="35"/>
    <row r="222" ht="14.25" customHeight="1" s="35"/>
    <row r="223" ht="14.25" customHeight="1" s="35"/>
    <row r="224" ht="14.25" customHeight="1" s="35"/>
    <row r="225" ht="14.25" customHeight="1" s="35"/>
    <row r="226" ht="14.25" customHeight="1" s="35"/>
    <row r="227" ht="14.25" customHeight="1" s="35"/>
    <row r="228" ht="14.25" customHeight="1" s="35"/>
    <row r="229" ht="14.25" customHeight="1" s="35"/>
    <row r="230" ht="14.25" customHeight="1" s="35"/>
    <row r="231" ht="14.25" customHeight="1" s="35"/>
    <row r="232" ht="14.25" customHeight="1" s="35"/>
    <row r="233" ht="14.25" customHeight="1" s="35"/>
    <row r="234" ht="14.25" customHeight="1" s="35"/>
    <row r="235" ht="14.25" customHeight="1" s="35"/>
    <row r="236" ht="14.25" customHeight="1" s="35"/>
    <row r="237" ht="14.25" customHeight="1" s="35"/>
    <row r="238" ht="14.25" customHeight="1" s="35"/>
    <row r="239" ht="14.25" customHeight="1" s="35"/>
    <row r="240" ht="14.25" customHeight="1" s="35"/>
    <row r="241" ht="14.25" customHeight="1" s="35"/>
    <row r="242" ht="14.25" customHeight="1" s="35"/>
    <row r="243" ht="14.25" customHeight="1" s="35"/>
    <row r="244" ht="14.25" customHeight="1" s="35"/>
    <row r="245" ht="14.25" customHeight="1" s="35"/>
    <row r="246" ht="14.25" customHeight="1" s="35"/>
    <row r="247" ht="14.25" customHeight="1" s="35"/>
    <row r="248" ht="14.25" customHeight="1" s="35"/>
    <row r="249" ht="14.25" customHeight="1" s="35"/>
    <row r="250" ht="14.25" customHeight="1" s="35"/>
    <row r="251" ht="14.25" customHeight="1" s="35"/>
    <row r="252" ht="14.25" customHeight="1" s="35"/>
    <row r="253" ht="14.25" customHeight="1" s="35"/>
    <row r="254" ht="14.25" customHeight="1" s="35"/>
    <row r="255" ht="14.25" customHeight="1" s="35"/>
    <row r="256" ht="14.25" customHeight="1" s="35"/>
    <row r="257" ht="14.25" customHeight="1" s="35"/>
    <row r="258" ht="14.25" customHeight="1" s="35"/>
    <row r="259" ht="14.25" customHeight="1" s="35"/>
    <row r="260" ht="14.25" customHeight="1" s="35"/>
    <row r="261" ht="14.25" customHeight="1" s="35"/>
    <row r="262" ht="14.25" customHeight="1" s="35"/>
    <row r="263" ht="14.25" customHeight="1" s="35"/>
    <row r="264" ht="14.25" customHeight="1" s="35"/>
    <row r="265" ht="14.25" customHeight="1" s="35"/>
    <row r="266" ht="14.25" customHeight="1" s="35"/>
    <row r="267" ht="14.25" customHeight="1" s="35"/>
    <row r="268" ht="14.25" customHeight="1" s="35"/>
    <row r="269" ht="14.25" customHeight="1" s="35"/>
    <row r="270" ht="14.25" customHeight="1" s="35"/>
    <row r="271" ht="14.25" customHeight="1" s="35"/>
    <row r="272" ht="14.25" customHeight="1" s="35"/>
    <row r="273" ht="14.25" customHeight="1" s="35"/>
    <row r="274" ht="14.25" customHeight="1" s="35"/>
    <row r="275" ht="14.25" customHeight="1" s="35"/>
    <row r="276" ht="14.25" customHeight="1" s="35"/>
    <row r="277" ht="14.25" customHeight="1" s="35"/>
    <row r="278" ht="14.25" customHeight="1" s="35"/>
    <row r="279" ht="14.25" customHeight="1" s="35"/>
    <row r="280" ht="14.25" customHeight="1" s="35"/>
    <row r="281" ht="14.25" customHeight="1" s="35"/>
    <row r="282" ht="14.25" customHeight="1" s="35"/>
    <row r="283" ht="14.25" customHeight="1" s="35"/>
    <row r="284" ht="14.25" customHeight="1" s="35"/>
    <row r="285" ht="14.25" customHeight="1" s="35"/>
    <row r="286" ht="14.25" customHeight="1" s="35"/>
    <row r="287" ht="14.25" customHeight="1" s="35"/>
    <row r="288" ht="14.25" customHeight="1" s="35"/>
    <row r="289" ht="14.25" customHeight="1" s="35"/>
    <row r="290" ht="14.25" customHeight="1" s="35"/>
    <row r="291" ht="14.25" customHeight="1" s="35"/>
    <row r="292" ht="14.25" customHeight="1" s="35"/>
    <row r="293" ht="14.25" customHeight="1" s="35"/>
    <row r="294" ht="14.25" customHeight="1" s="35"/>
    <row r="295" ht="14.25" customHeight="1" s="35"/>
    <row r="296" ht="14.25" customHeight="1" s="35"/>
    <row r="297" ht="14.25" customHeight="1" s="35"/>
    <row r="298" ht="14.25" customHeight="1" s="35"/>
    <row r="299" ht="14.25" customHeight="1" s="35"/>
    <row r="300" ht="14.25" customHeight="1" s="35"/>
    <row r="301" ht="14.25" customHeight="1" s="35"/>
    <row r="302" ht="14.25" customHeight="1" s="35"/>
    <row r="303" ht="14.25" customHeight="1" s="35"/>
    <row r="304" ht="14.25" customHeight="1" s="35"/>
    <row r="305" ht="14.25" customHeight="1" s="35"/>
    <row r="306" ht="14.25" customHeight="1" s="35"/>
    <row r="307" ht="14.25" customHeight="1" s="35"/>
    <row r="308" ht="14.25" customHeight="1" s="35"/>
    <row r="309" ht="14.25" customHeight="1" s="35"/>
    <row r="310" ht="14.25" customHeight="1" s="35"/>
    <row r="311" ht="14.25" customHeight="1" s="35"/>
    <row r="312" ht="14.25" customHeight="1" s="35"/>
    <row r="313" ht="14.25" customHeight="1" s="35"/>
    <row r="314" ht="14.25" customHeight="1" s="35"/>
    <row r="315" ht="14.25" customHeight="1" s="35"/>
    <row r="316" ht="14.25" customHeight="1" s="35"/>
    <row r="317" ht="14.25" customHeight="1" s="35"/>
    <row r="318" ht="14.25" customHeight="1" s="35"/>
    <row r="319" ht="14.25" customHeight="1" s="35"/>
    <row r="320" ht="14.25" customHeight="1" s="35"/>
    <row r="321" ht="14.25" customHeight="1" s="35"/>
    <row r="322" ht="14.25" customHeight="1" s="35"/>
    <row r="323" ht="14.25" customHeight="1" s="35"/>
    <row r="324" ht="14.25" customHeight="1" s="35"/>
    <row r="325" ht="14.25" customHeight="1" s="35"/>
    <row r="326" ht="14.25" customHeight="1" s="35"/>
    <row r="327" ht="14.25" customHeight="1" s="35"/>
    <row r="328" ht="14.25" customHeight="1" s="35"/>
    <row r="329" ht="14.25" customHeight="1" s="35"/>
    <row r="330" ht="14.25" customHeight="1" s="35"/>
    <row r="331" ht="14.25" customHeight="1" s="35"/>
    <row r="332" ht="14.25" customHeight="1" s="35"/>
    <row r="333" ht="14.25" customHeight="1" s="35"/>
    <row r="334" ht="14.25" customHeight="1" s="35"/>
    <row r="335" ht="14.25" customHeight="1" s="35"/>
    <row r="336" ht="14.25" customHeight="1" s="35"/>
    <row r="337" ht="14.25" customHeight="1" s="35"/>
    <row r="338" ht="14.25" customHeight="1" s="35"/>
    <row r="339" ht="14.25" customHeight="1" s="35"/>
    <row r="340" ht="14.25" customHeight="1" s="35"/>
    <row r="341" ht="14.25" customHeight="1" s="35"/>
    <row r="342" ht="14.25" customHeight="1" s="35"/>
    <row r="343" ht="14.25" customHeight="1" s="35"/>
    <row r="344" ht="14.25" customHeight="1" s="35"/>
    <row r="345" ht="14.25" customHeight="1" s="35"/>
    <row r="346" ht="14.25" customHeight="1" s="35"/>
    <row r="347" ht="14.25" customHeight="1" s="35"/>
    <row r="348" ht="14.25" customHeight="1" s="35"/>
    <row r="349" ht="14.25" customHeight="1" s="35"/>
    <row r="350" ht="14.25" customHeight="1" s="35"/>
    <row r="351" ht="14.25" customHeight="1" s="35"/>
    <row r="352" ht="14.25" customHeight="1" s="35"/>
    <row r="353" ht="14.25" customHeight="1" s="35"/>
    <row r="354" ht="14.25" customHeight="1" s="35"/>
    <row r="355" ht="14.25" customHeight="1" s="35"/>
    <row r="356" ht="14.25" customHeight="1" s="35"/>
    <row r="357" ht="14.25" customHeight="1" s="35"/>
    <row r="358" ht="14.25" customHeight="1" s="35"/>
    <row r="359" ht="14.25" customHeight="1" s="35"/>
    <row r="360" ht="14.25" customHeight="1" s="35"/>
    <row r="361" ht="14.25" customHeight="1" s="35"/>
    <row r="362" ht="14.25" customHeight="1" s="35"/>
    <row r="363" ht="14.25" customHeight="1" s="35"/>
    <row r="364" ht="14.25" customHeight="1" s="35"/>
    <row r="365" ht="14.25" customHeight="1" s="35"/>
    <row r="366" ht="14.25" customHeight="1" s="35"/>
    <row r="367" ht="14.25" customHeight="1" s="35"/>
    <row r="368" ht="14.25" customHeight="1" s="35"/>
    <row r="369" ht="14.25" customHeight="1" s="35"/>
    <row r="370" ht="14.25" customHeight="1" s="35"/>
    <row r="371" ht="14.25" customHeight="1" s="35"/>
    <row r="372" ht="14.25" customHeight="1" s="35"/>
    <row r="373" ht="14.25" customHeight="1" s="35"/>
    <row r="374" ht="14.25" customHeight="1" s="35"/>
    <row r="375" ht="14.25" customHeight="1" s="35"/>
    <row r="376" ht="14.25" customHeight="1" s="35"/>
    <row r="377" ht="14.25" customHeight="1" s="35"/>
    <row r="378" ht="14.25" customHeight="1" s="35"/>
    <row r="379" ht="14.25" customHeight="1" s="35"/>
    <row r="380" ht="14.25" customHeight="1" s="35"/>
    <row r="381" ht="14.25" customHeight="1" s="35"/>
    <row r="382" ht="14.25" customHeight="1" s="35"/>
    <row r="383" ht="14.25" customHeight="1" s="35"/>
    <row r="384" ht="14.25" customHeight="1" s="35"/>
    <row r="385" ht="14.25" customHeight="1" s="35"/>
    <row r="386" ht="14.25" customHeight="1" s="35"/>
    <row r="387" ht="14.25" customHeight="1" s="35"/>
    <row r="388" ht="14.25" customHeight="1" s="35"/>
    <row r="389" ht="14.25" customHeight="1" s="35"/>
    <row r="390" ht="14.25" customHeight="1" s="35"/>
    <row r="391" ht="14.25" customHeight="1" s="35"/>
    <row r="392" ht="14.25" customHeight="1" s="35"/>
    <row r="393" ht="14.25" customHeight="1" s="35"/>
    <row r="394" ht="14.25" customHeight="1" s="35"/>
    <row r="395" ht="14.25" customHeight="1" s="35"/>
    <row r="396" ht="14.25" customHeight="1" s="35"/>
    <row r="397" ht="14.25" customHeight="1" s="35"/>
    <row r="398" ht="14.25" customHeight="1" s="35"/>
    <row r="399" ht="14.25" customHeight="1" s="35"/>
    <row r="400" ht="14.25" customHeight="1" s="35"/>
    <row r="401" ht="14.25" customHeight="1" s="35"/>
    <row r="402" ht="14.25" customHeight="1" s="35"/>
    <row r="403" ht="14.25" customHeight="1" s="35"/>
    <row r="404" ht="14.25" customHeight="1" s="35"/>
    <row r="405" ht="14.25" customHeight="1" s="35"/>
    <row r="406" ht="14.25" customHeight="1" s="35"/>
    <row r="407" ht="14.25" customHeight="1" s="35"/>
    <row r="408" ht="14.25" customHeight="1" s="35"/>
    <row r="409" ht="14.25" customHeight="1" s="35"/>
    <row r="410" ht="14.25" customHeight="1" s="35"/>
    <row r="411" ht="14.25" customHeight="1" s="35"/>
    <row r="412" ht="14.25" customHeight="1" s="35"/>
    <row r="413" ht="14.25" customHeight="1" s="35"/>
    <row r="414" ht="14.25" customHeight="1" s="35"/>
    <row r="415" ht="14.25" customHeight="1" s="35"/>
    <row r="416" ht="14.25" customHeight="1" s="35"/>
    <row r="417" ht="14.25" customHeight="1" s="35"/>
    <row r="418" ht="14.25" customHeight="1" s="35"/>
    <row r="419" ht="14.25" customHeight="1" s="35"/>
    <row r="420" ht="14.25" customHeight="1" s="35"/>
    <row r="421" ht="14.25" customHeight="1" s="35"/>
    <row r="422" ht="14.25" customHeight="1" s="35"/>
    <row r="423" ht="14.25" customHeight="1" s="35"/>
    <row r="424" ht="14.25" customHeight="1" s="35"/>
    <row r="425" ht="14.25" customHeight="1" s="35"/>
    <row r="426" ht="14.25" customHeight="1" s="35"/>
    <row r="427" ht="14.25" customHeight="1" s="35"/>
    <row r="428" ht="14.25" customHeight="1" s="35"/>
    <row r="429" ht="14.25" customHeight="1" s="35"/>
    <row r="430" ht="14.25" customHeight="1" s="35"/>
    <row r="431" ht="14.25" customHeight="1" s="35"/>
    <row r="432" ht="14.25" customHeight="1" s="35"/>
    <row r="433" ht="14.25" customHeight="1" s="35"/>
    <row r="434" ht="14.25" customHeight="1" s="35"/>
    <row r="435" ht="14.25" customHeight="1" s="35"/>
    <row r="436" ht="14.25" customHeight="1" s="35"/>
    <row r="437" ht="14.25" customHeight="1" s="35"/>
    <row r="438" ht="14.25" customHeight="1" s="35"/>
    <row r="439" ht="14.25" customHeight="1" s="35"/>
    <row r="440" ht="14.25" customHeight="1" s="35"/>
    <row r="441" ht="14.25" customHeight="1" s="35"/>
    <row r="442" ht="14.25" customHeight="1" s="35"/>
    <row r="443" ht="14.25" customHeight="1" s="35"/>
    <row r="444" ht="14.25" customHeight="1" s="35"/>
    <row r="445" ht="14.25" customHeight="1" s="35"/>
    <row r="446" ht="14.25" customHeight="1" s="35"/>
    <row r="447" ht="14.25" customHeight="1" s="35"/>
    <row r="448" ht="14.25" customHeight="1" s="35"/>
    <row r="449" ht="14.25" customHeight="1" s="35"/>
    <row r="450" ht="14.25" customHeight="1" s="35"/>
    <row r="451" ht="14.25" customHeight="1" s="35"/>
    <row r="452" ht="14.25" customHeight="1" s="35"/>
    <row r="453" ht="14.25" customHeight="1" s="35"/>
    <row r="454" ht="14.25" customHeight="1" s="35"/>
    <row r="455" ht="14.25" customHeight="1" s="35"/>
    <row r="456" ht="14.25" customHeight="1" s="35"/>
    <row r="457" ht="14.25" customHeight="1" s="35"/>
    <row r="458" ht="14.25" customHeight="1" s="35"/>
    <row r="459" ht="14.25" customHeight="1" s="35"/>
    <row r="460" ht="14.25" customHeight="1" s="35"/>
    <row r="461" ht="14.25" customHeight="1" s="35"/>
    <row r="462" ht="14.25" customHeight="1" s="35"/>
    <row r="463" ht="14.25" customHeight="1" s="35"/>
    <row r="464" ht="14.25" customHeight="1" s="35"/>
    <row r="465" ht="14.25" customHeight="1" s="35"/>
    <row r="466" ht="14.25" customHeight="1" s="35"/>
    <row r="467" ht="14.25" customHeight="1" s="35"/>
    <row r="468" ht="14.25" customHeight="1" s="35"/>
    <row r="469" ht="14.25" customHeight="1" s="35"/>
    <row r="470" ht="14.25" customHeight="1" s="35"/>
    <row r="471" ht="14.25" customHeight="1" s="35"/>
    <row r="472" ht="14.25" customHeight="1" s="35"/>
    <row r="473" ht="14.25" customHeight="1" s="35"/>
    <row r="474" ht="14.25" customHeight="1" s="35"/>
    <row r="475" ht="14.25" customHeight="1" s="35"/>
    <row r="476" ht="14.25" customHeight="1" s="35"/>
    <row r="477" ht="14.25" customHeight="1" s="35"/>
    <row r="478" ht="14.25" customHeight="1" s="35"/>
    <row r="479" ht="14.25" customHeight="1" s="35"/>
    <row r="480" ht="14.25" customHeight="1" s="35"/>
    <row r="481" ht="14.25" customHeight="1" s="35"/>
    <row r="482" ht="14.25" customHeight="1" s="35"/>
    <row r="483" ht="14.25" customHeight="1" s="35"/>
    <row r="484" ht="14.25" customHeight="1" s="35"/>
    <row r="485" ht="14.25" customHeight="1" s="35"/>
    <row r="486" ht="14.25" customHeight="1" s="35"/>
    <row r="487" ht="14.25" customHeight="1" s="35"/>
    <row r="488" ht="14.25" customHeight="1" s="35"/>
    <row r="489" ht="14.25" customHeight="1" s="35"/>
    <row r="490" ht="14.25" customHeight="1" s="35"/>
    <row r="491" ht="14.25" customHeight="1" s="35"/>
    <row r="492" ht="14.25" customHeight="1" s="35"/>
    <row r="493" ht="14.25" customHeight="1" s="35"/>
    <row r="494" ht="14.25" customHeight="1" s="35"/>
    <row r="495" ht="14.25" customHeight="1" s="35"/>
    <row r="496" ht="14.25" customHeight="1" s="35"/>
    <row r="497" ht="14.25" customHeight="1" s="35"/>
    <row r="498" ht="14.25" customHeight="1" s="35"/>
    <row r="499" ht="14.25" customHeight="1" s="35"/>
    <row r="500" ht="14.25" customHeight="1" s="35"/>
    <row r="501" ht="14.25" customHeight="1" s="35"/>
    <row r="502" ht="14.25" customHeight="1" s="35"/>
    <row r="503" ht="14.25" customHeight="1" s="35"/>
    <row r="504" ht="14.25" customHeight="1" s="35"/>
    <row r="505" ht="14.25" customHeight="1" s="35"/>
    <row r="506" ht="14.25" customHeight="1" s="35"/>
    <row r="507" ht="14.25" customHeight="1" s="35"/>
    <row r="508" ht="14.25" customHeight="1" s="35"/>
    <row r="509" ht="14.25" customHeight="1" s="35"/>
    <row r="510" ht="14.25" customHeight="1" s="35"/>
    <row r="511" ht="14.25" customHeight="1" s="35"/>
    <row r="512" ht="14.25" customHeight="1" s="35"/>
    <row r="513" ht="14.25" customHeight="1" s="35"/>
    <row r="514" ht="14.25" customHeight="1" s="35"/>
    <row r="515" ht="14.25" customHeight="1" s="35"/>
    <row r="516" ht="14.25" customHeight="1" s="35"/>
    <row r="517" ht="14.25" customHeight="1" s="35"/>
    <row r="518" ht="14.25" customHeight="1" s="35"/>
    <row r="519" ht="14.25" customHeight="1" s="35"/>
    <row r="520" ht="14.25" customHeight="1" s="35"/>
    <row r="521" ht="14.25" customHeight="1" s="35"/>
    <row r="522" ht="14.25" customHeight="1" s="35"/>
    <row r="523" ht="14.25" customHeight="1" s="35"/>
    <row r="524" ht="14.25" customHeight="1" s="35"/>
    <row r="525" ht="14.25" customHeight="1" s="35"/>
    <row r="526" ht="14.25" customHeight="1" s="35"/>
    <row r="527" ht="14.25" customHeight="1" s="35"/>
    <row r="528" ht="14.25" customHeight="1" s="35"/>
    <row r="529" ht="14.25" customHeight="1" s="35"/>
    <row r="530" ht="14.25" customHeight="1" s="35"/>
    <row r="531" ht="14.25" customHeight="1" s="35"/>
    <row r="532" ht="14.25" customHeight="1" s="35"/>
    <row r="533" ht="14.25" customHeight="1" s="35"/>
    <row r="534" ht="14.25" customHeight="1" s="35"/>
    <row r="535" ht="14.25" customHeight="1" s="35"/>
    <row r="536" ht="14.25" customHeight="1" s="35"/>
    <row r="537" ht="14.25" customHeight="1" s="35"/>
    <row r="538" ht="14.25" customHeight="1" s="35"/>
    <row r="539" ht="14.25" customHeight="1" s="35"/>
    <row r="540" ht="14.25" customHeight="1" s="35"/>
    <row r="541" ht="14.25" customHeight="1" s="35"/>
    <row r="542" ht="14.25" customHeight="1" s="35"/>
    <row r="543" ht="14.25" customHeight="1" s="35"/>
    <row r="544" ht="14.25" customHeight="1" s="35"/>
    <row r="545" ht="14.25" customHeight="1" s="35"/>
    <row r="546" ht="14.25" customHeight="1" s="35"/>
    <row r="547" ht="14.25" customHeight="1" s="35"/>
    <row r="548" ht="14.25" customHeight="1" s="35"/>
    <row r="549" ht="14.25" customHeight="1" s="35"/>
    <row r="550" ht="14.25" customHeight="1" s="35"/>
    <row r="551" ht="14.25" customHeight="1" s="35"/>
    <row r="552" ht="14.25" customHeight="1" s="35"/>
    <row r="553" ht="14.25" customHeight="1" s="35"/>
    <row r="554" ht="14.25" customHeight="1" s="35"/>
    <row r="555" ht="14.25" customHeight="1" s="35"/>
    <row r="556" ht="14.25" customHeight="1" s="35"/>
    <row r="557" ht="14.25" customHeight="1" s="35"/>
    <row r="558" ht="14.25" customHeight="1" s="35"/>
    <row r="559" ht="14.25" customHeight="1" s="35"/>
    <row r="560" ht="14.25" customHeight="1" s="35"/>
    <row r="561" ht="14.25" customHeight="1" s="35"/>
    <row r="562" ht="14.25" customHeight="1" s="35"/>
    <row r="563" ht="14.25" customHeight="1" s="35"/>
    <row r="564" ht="14.25" customHeight="1" s="35"/>
    <row r="565" ht="14.25" customHeight="1" s="35"/>
    <row r="566" ht="14.25" customHeight="1" s="35"/>
    <row r="567" ht="14.25" customHeight="1" s="35"/>
    <row r="568" ht="14.25" customHeight="1" s="35"/>
    <row r="569" ht="14.25" customHeight="1" s="35"/>
    <row r="570" ht="14.25" customHeight="1" s="35"/>
    <row r="571" ht="14.25" customHeight="1" s="35"/>
    <row r="572" ht="14.25" customHeight="1" s="35"/>
    <row r="573" ht="14.25" customHeight="1" s="35"/>
    <row r="574" ht="14.25" customHeight="1" s="35"/>
    <row r="575" ht="14.25" customHeight="1" s="35"/>
    <row r="576" ht="14.25" customHeight="1" s="35"/>
    <row r="577" ht="14.25" customHeight="1" s="35"/>
    <row r="578" ht="14.25" customHeight="1" s="35"/>
    <row r="579" ht="14.25" customHeight="1" s="35"/>
    <row r="580" ht="14.25" customHeight="1" s="35"/>
    <row r="581" ht="14.25" customHeight="1" s="35"/>
    <row r="582" ht="14.25" customHeight="1" s="35"/>
    <row r="583" ht="14.25" customHeight="1" s="35"/>
    <row r="584" ht="14.25" customHeight="1" s="35"/>
    <row r="585" ht="14.25" customHeight="1" s="35"/>
    <row r="586" ht="14.25" customHeight="1" s="35"/>
    <row r="587" ht="14.25" customHeight="1" s="35"/>
    <row r="588" ht="14.25" customHeight="1" s="35"/>
    <row r="589" ht="14.25" customHeight="1" s="35"/>
    <row r="590" ht="14.25" customHeight="1" s="35"/>
    <row r="591" ht="14.25" customHeight="1" s="35"/>
    <row r="592" ht="14.25" customHeight="1" s="35"/>
    <row r="593" ht="14.25" customHeight="1" s="35"/>
    <row r="594" ht="14.25" customHeight="1" s="35"/>
    <row r="595" ht="14.25" customHeight="1" s="35"/>
    <row r="596" ht="14.25" customHeight="1" s="35"/>
    <row r="597" ht="14.25" customHeight="1" s="35"/>
    <row r="598" ht="14.25" customHeight="1" s="35"/>
    <row r="599" ht="14.25" customHeight="1" s="35"/>
    <row r="600" ht="14.25" customHeight="1" s="35"/>
    <row r="601" ht="14.25" customHeight="1" s="35"/>
    <row r="602" ht="14.25" customHeight="1" s="35"/>
    <row r="603" ht="14.25" customHeight="1" s="35"/>
    <row r="604" ht="14.25" customHeight="1" s="35"/>
    <row r="605" ht="14.25" customHeight="1" s="35"/>
    <row r="606" ht="14.25" customHeight="1" s="35"/>
    <row r="607" ht="14.25" customHeight="1" s="35"/>
    <row r="608" ht="14.25" customHeight="1" s="35"/>
    <row r="609" ht="14.25" customHeight="1" s="35"/>
    <row r="610" ht="14.25" customHeight="1" s="35"/>
    <row r="611" ht="14.25" customHeight="1" s="35"/>
    <row r="612" ht="14.25" customHeight="1" s="35"/>
    <row r="613" ht="14.25" customHeight="1" s="35"/>
    <row r="614" ht="14.25" customHeight="1" s="35"/>
    <row r="615" ht="14.25" customHeight="1" s="35"/>
    <row r="616" ht="14.25" customHeight="1" s="35"/>
    <row r="617" ht="14.25" customHeight="1" s="35"/>
    <row r="618" ht="14.25" customHeight="1" s="35"/>
    <row r="619" ht="14.25" customHeight="1" s="35"/>
    <row r="620" ht="14.25" customHeight="1" s="35"/>
    <row r="621" ht="14.25" customHeight="1" s="35"/>
    <row r="622" ht="14.25" customHeight="1" s="35"/>
    <row r="623" ht="14.25" customHeight="1" s="35"/>
    <row r="624" ht="14.25" customHeight="1" s="35"/>
    <row r="625" ht="14.25" customHeight="1" s="35"/>
    <row r="626" ht="14.25" customHeight="1" s="35"/>
    <row r="627" ht="14.25" customHeight="1" s="35"/>
    <row r="628" ht="14.25" customHeight="1" s="35"/>
    <row r="629" ht="14.25" customHeight="1" s="35"/>
    <row r="630" ht="14.25" customHeight="1" s="35"/>
    <row r="631" ht="14.25" customHeight="1" s="35"/>
    <row r="632" ht="14.25" customHeight="1" s="35"/>
    <row r="633" ht="14.25" customHeight="1" s="35"/>
    <row r="634" ht="14.25" customHeight="1" s="35"/>
    <row r="635" ht="14.25" customHeight="1" s="35"/>
    <row r="636" ht="14.25" customHeight="1" s="35"/>
    <row r="637" ht="14.25" customHeight="1" s="35"/>
    <row r="638" ht="14.25" customHeight="1" s="35"/>
    <row r="639" ht="14.25" customHeight="1" s="35"/>
    <row r="640" ht="14.25" customHeight="1" s="35"/>
    <row r="641" ht="14.25" customHeight="1" s="35"/>
    <row r="642" ht="14.25" customHeight="1" s="35"/>
    <row r="643" ht="14.25" customHeight="1" s="35"/>
    <row r="644" ht="14.25" customHeight="1" s="35"/>
    <row r="645" ht="14.25" customHeight="1" s="35"/>
    <row r="646" ht="14.25" customHeight="1" s="35"/>
    <row r="647" ht="14.25" customHeight="1" s="35"/>
    <row r="648" ht="14.25" customHeight="1" s="35"/>
    <row r="649" ht="14.25" customHeight="1" s="35"/>
    <row r="650" ht="14.25" customHeight="1" s="35"/>
    <row r="651" ht="14.25" customHeight="1" s="35"/>
    <row r="652" ht="14.25" customHeight="1" s="35"/>
    <row r="653" ht="14.25" customHeight="1" s="35"/>
    <row r="654" ht="14.25" customHeight="1" s="35"/>
    <row r="655" ht="14.25" customHeight="1" s="35"/>
    <row r="656" ht="14.25" customHeight="1" s="35"/>
    <row r="657" ht="14.25" customHeight="1" s="35"/>
    <row r="658" ht="14.25" customHeight="1" s="35"/>
    <row r="659" ht="14.25" customHeight="1" s="35"/>
    <row r="660" ht="14.25" customHeight="1" s="35"/>
    <row r="661" ht="14.25" customHeight="1" s="35"/>
    <row r="662" ht="14.25" customHeight="1" s="35"/>
    <row r="663" ht="14.25" customHeight="1" s="35"/>
    <row r="664" ht="14.25" customHeight="1" s="35"/>
    <row r="665" ht="14.25" customHeight="1" s="35"/>
    <row r="666" ht="14.25" customHeight="1" s="35"/>
    <row r="667" ht="14.25" customHeight="1" s="35"/>
    <row r="668" ht="14.25" customHeight="1" s="35"/>
    <row r="669" ht="14.25" customHeight="1" s="35"/>
    <row r="670" ht="14.25" customHeight="1" s="35"/>
    <row r="671" ht="14.25" customHeight="1" s="35"/>
    <row r="672" ht="14.25" customHeight="1" s="35"/>
    <row r="673" ht="14.25" customHeight="1" s="35"/>
    <row r="674" ht="14.25" customHeight="1" s="35"/>
    <row r="675" ht="14.25" customHeight="1" s="35"/>
    <row r="676" ht="14.25" customHeight="1" s="35"/>
    <row r="677" ht="14.25" customHeight="1" s="35"/>
    <row r="678" ht="14.25" customHeight="1" s="35"/>
    <row r="679" ht="14.25" customHeight="1" s="35"/>
    <row r="680" ht="14.25" customHeight="1" s="35"/>
    <row r="681" ht="14.25" customHeight="1" s="35"/>
    <row r="682" ht="14.25" customHeight="1" s="35"/>
    <row r="683" ht="14.25" customHeight="1" s="35"/>
    <row r="684" ht="14.25" customHeight="1" s="35"/>
    <row r="685" ht="14.25" customHeight="1" s="35"/>
    <row r="686" ht="14.25" customHeight="1" s="35"/>
    <row r="687" ht="14.25" customHeight="1" s="35"/>
    <row r="688" ht="14.25" customHeight="1" s="35"/>
    <row r="689" ht="14.25" customHeight="1" s="35"/>
    <row r="690" ht="14.25" customHeight="1" s="35"/>
    <row r="691" ht="14.25" customHeight="1" s="35"/>
    <row r="692" ht="14.25" customHeight="1" s="35"/>
    <row r="693" ht="14.25" customHeight="1" s="35"/>
    <row r="694" ht="14.25" customHeight="1" s="35"/>
    <row r="695" ht="14.25" customHeight="1" s="35"/>
    <row r="696" ht="14.25" customHeight="1" s="35"/>
    <row r="697" ht="14.25" customHeight="1" s="35"/>
    <row r="698" ht="14.25" customHeight="1" s="35"/>
    <row r="699" ht="14.25" customHeight="1" s="35"/>
    <row r="700" ht="14.25" customHeight="1" s="35"/>
    <row r="701" ht="14.25" customHeight="1" s="35"/>
    <row r="702" ht="14.25" customHeight="1" s="35"/>
    <row r="703" ht="14.25" customHeight="1" s="35"/>
    <row r="704" ht="14.25" customHeight="1" s="35"/>
    <row r="705" ht="14.25" customHeight="1" s="35"/>
    <row r="706" ht="14.25" customHeight="1" s="35"/>
    <row r="707" ht="14.25" customHeight="1" s="35"/>
    <row r="708" ht="14.25" customHeight="1" s="35"/>
    <row r="709" ht="14.25" customHeight="1" s="35"/>
    <row r="710" ht="14.25" customHeight="1" s="35"/>
    <row r="711" ht="14.25" customHeight="1" s="35"/>
    <row r="712" ht="14.25" customHeight="1" s="35"/>
    <row r="713" ht="14.25" customHeight="1" s="35"/>
    <row r="714" ht="14.25" customHeight="1" s="35"/>
    <row r="715" ht="14.25" customHeight="1" s="35"/>
    <row r="716" ht="14.25" customHeight="1" s="35"/>
    <row r="717" ht="14.25" customHeight="1" s="35"/>
    <row r="718" ht="14.25" customHeight="1" s="35"/>
    <row r="719" ht="14.25" customHeight="1" s="35"/>
    <row r="720" ht="14.25" customHeight="1" s="35"/>
    <row r="721" ht="14.25" customHeight="1" s="35"/>
    <row r="722" ht="14.25" customHeight="1" s="35"/>
    <row r="723" ht="14.25" customHeight="1" s="35"/>
    <row r="724" ht="14.25" customHeight="1" s="35"/>
    <row r="725" ht="14.25" customHeight="1" s="35"/>
    <row r="726" ht="14.25" customHeight="1" s="35"/>
    <row r="727" ht="14.25" customHeight="1" s="35"/>
    <row r="728" ht="14.25" customHeight="1" s="35"/>
    <row r="729" ht="14.25" customHeight="1" s="35"/>
    <row r="730" ht="14.25" customHeight="1" s="35"/>
    <row r="731" ht="14.25" customHeight="1" s="35"/>
    <row r="732" ht="14.25" customHeight="1" s="35"/>
    <row r="733" ht="14.25" customHeight="1" s="35"/>
    <row r="734" ht="14.25" customHeight="1" s="35"/>
    <row r="735" ht="14.25" customHeight="1" s="35"/>
    <row r="736" ht="14.25" customHeight="1" s="35"/>
    <row r="737" ht="14.25" customHeight="1" s="35"/>
    <row r="738" ht="14.25" customHeight="1" s="35"/>
    <row r="739" ht="14.25" customHeight="1" s="35"/>
    <row r="740" ht="14.25" customHeight="1" s="35"/>
    <row r="741" ht="14.25" customHeight="1" s="35"/>
    <row r="742" ht="14.25" customHeight="1" s="35"/>
    <row r="743" ht="14.25" customHeight="1" s="35"/>
    <row r="744" ht="14.25" customHeight="1" s="35"/>
    <row r="745" ht="14.25" customHeight="1" s="35"/>
    <row r="746" ht="14.25" customHeight="1" s="35"/>
    <row r="747" ht="14.25" customHeight="1" s="35"/>
    <row r="748" ht="14.25" customHeight="1" s="35"/>
    <row r="749" ht="14.25" customHeight="1" s="35"/>
    <row r="750" ht="14.25" customHeight="1" s="35"/>
    <row r="751" ht="14.25" customHeight="1" s="35"/>
    <row r="752" ht="14.25" customHeight="1" s="35"/>
    <row r="753" ht="14.25" customHeight="1" s="35"/>
    <row r="754" ht="14.25" customHeight="1" s="35"/>
    <row r="755" ht="14.25" customHeight="1" s="35"/>
    <row r="756" ht="14.25" customHeight="1" s="35"/>
    <row r="757" ht="14.25" customHeight="1" s="35"/>
    <row r="758" ht="14.25" customHeight="1" s="35"/>
    <row r="759" ht="14.25" customHeight="1" s="35"/>
    <row r="760" ht="14.25" customHeight="1" s="35"/>
    <row r="761" ht="14.25" customHeight="1" s="35"/>
    <row r="762" ht="14.25" customHeight="1" s="35"/>
    <row r="763" ht="14.25" customHeight="1" s="35"/>
    <row r="764" ht="14.25" customHeight="1" s="35"/>
    <row r="765" ht="14.25" customHeight="1" s="35"/>
    <row r="766" ht="14.25" customHeight="1" s="35"/>
    <row r="767" ht="14.25" customHeight="1" s="35"/>
    <row r="768" ht="14.25" customHeight="1" s="35"/>
    <row r="769" ht="14.25" customHeight="1" s="35"/>
    <row r="770" ht="14.25" customHeight="1" s="35"/>
    <row r="771" ht="14.25" customHeight="1" s="35"/>
    <row r="772" ht="14.25" customHeight="1" s="35"/>
    <row r="773" ht="14.25" customHeight="1" s="35"/>
    <row r="774" ht="14.25" customHeight="1" s="35"/>
    <row r="775" ht="14.25" customHeight="1" s="35"/>
    <row r="776" ht="14.25" customHeight="1" s="35"/>
    <row r="777" ht="14.25" customHeight="1" s="35"/>
    <row r="778" ht="14.25" customHeight="1" s="35"/>
    <row r="779" ht="14.25" customHeight="1" s="35"/>
    <row r="780" ht="14.25" customHeight="1" s="35"/>
    <row r="781" ht="14.25" customHeight="1" s="35"/>
    <row r="782" ht="14.25" customHeight="1" s="35"/>
    <row r="783" ht="14.25" customHeight="1" s="35"/>
    <row r="784" ht="14.25" customHeight="1" s="35"/>
    <row r="785" ht="14.25" customHeight="1" s="35"/>
    <row r="786" ht="14.25" customHeight="1" s="35"/>
    <row r="787" ht="14.25" customHeight="1" s="35"/>
    <row r="788" ht="14.25" customHeight="1" s="35"/>
    <row r="789" ht="14.25" customHeight="1" s="35"/>
    <row r="790" ht="14.25" customHeight="1" s="35"/>
    <row r="791" ht="14.25" customHeight="1" s="35"/>
    <row r="792" ht="14.25" customHeight="1" s="35"/>
    <row r="793" ht="14.25" customHeight="1" s="35"/>
    <row r="794" ht="14.25" customHeight="1" s="35"/>
    <row r="795" ht="14.25" customHeight="1" s="35"/>
    <row r="796" ht="14.25" customHeight="1" s="35"/>
    <row r="797" ht="14.25" customHeight="1" s="35"/>
    <row r="798" ht="14.25" customHeight="1" s="35"/>
    <row r="799" ht="14.25" customHeight="1" s="35"/>
    <row r="800" ht="14.25" customHeight="1" s="35"/>
    <row r="801" ht="14.25" customHeight="1" s="35"/>
    <row r="802" ht="14.25" customHeight="1" s="35"/>
    <row r="803" ht="14.25" customHeight="1" s="35"/>
    <row r="804" ht="14.25" customHeight="1" s="35"/>
    <row r="805" ht="14.25" customHeight="1" s="35"/>
    <row r="806" ht="14.25" customHeight="1" s="35"/>
    <row r="807" ht="14.25" customHeight="1" s="35"/>
    <row r="808" ht="14.25" customHeight="1" s="35"/>
    <row r="809" ht="14.25" customHeight="1" s="35"/>
    <row r="810" ht="14.25" customHeight="1" s="35"/>
    <row r="811" ht="14.25" customHeight="1" s="35"/>
    <row r="812" ht="14.25" customHeight="1" s="35"/>
    <row r="813" ht="14.25" customHeight="1" s="35"/>
    <row r="814" ht="14.25" customHeight="1" s="35"/>
    <row r="815" ht="14.25" customHeight="1" s="35"/>
    <row r="816" ht="14.25" customHeight="1" s="35"/>
    <row r="817" ht="14.25" customHeight="1" s="35"/>
    <row r="818" ht="14.25" customHeight="1" s="35"/>
    <row r="819" ht="14.25" customHeight="1" s="35"/>
    <row r="820" ht="14.25" customHeight="1" s="35"/>
    <row r="821" ht="14.25" customHeight="1" s="35"/>
    <row r="822" ht="14.25" customHeight="1" s="35"/>
    <row r="823" ht="14.25" customHeight="1" s="35"/>
    <row r="824" ht="14.25" customHeight="1" s="35"/>
    <row r="825" ht="14.25" customHeight="1" s="35"/>
    <row r="826" ht="14.25" customHeight="1" s="35"/>
    <row r="827" ht="14.25" customHeight="1" s="35"/>
    <row r="828" ht="14.25" customHeight="1" s="35"/>
    <row r="829" ht="14.25" customHeight="1" s="35"/>
    <row r="830" ht="14.25" customHeight="1" s="35"/>
    <row r="831" ht="14.25" customHeight="1" s="35"/>
    <row r="832" ht="14.25" customHeight="1" s="35"/>
    <row r="833" ht="14.25" customHeight="1" s="35"/>
    <row r="834" ht="14.25" customHeight="1" s="35"/>
    <row r="835" ht="14.25" customHeight="1" s="35"/>
    <row r="836" ht="14.25" customHeight="1" s="35"/>
    <row r="837" ht="14.25" customHeight="1" s="35"/>
    <row r="838" ht="14.25" customHeight="1" s="35"/>
    <row r="839" ht="14.25" customHeight="1" s="35"/>
    <row r="840" ht="14.25" customHeight="1" s="35"/>
    <row r="841" ht="14.25" customHeight="1" s="35"/>
    <row r="842" ht="14.25" customHeight="1" s="35"/>
    <row r="843" ht="14.25" customHeight="1" s="35"/>
    <row r="844" ht="14.25" customHeight="1" s="35"/>
    <row r="845" ht="14.25" customHeight="1" s="35"/>
    <row r="846" ht="14.25" customHeight="1" s="35"/>
    <row r="847" ht="14.25" customHeight="1" s="35"/>
    <row r="848" ht="14.25" customHeight="1" s="35"/>
    <row r="849" ht="14.25" customHeight="1" s="35"/>
    <row r="850" ht="14.25" customHeight="1" s="35"/>
    <row r="851" ht="14.25" customHeight="1" s="35"/>
    <row r="852" ht="14.25" customHeight="1" s="35"/>
    <row r="853" ht="14.25" customHeight="1" s="35"/>
    <row r="854" ht="14.25" customHeight="1" s="35"/>
    <row r="855" ht="14.25" customHeight="1" s="35"/>
    <row r="856" ht="14.25" customHeight="1" s="35"/>
    <row r="857" ht="14.25" customHeight="1" s="35"/>
    <row r="858" ht="14.25" customHeight="1" s="35"/>
    <row r="859" ht="14.25" customHeight="1" s="35"/>
    <row r="860" ht="14.25" customHeight="1" s="35"/>
    <row r="861" ht="14.25" customHeight="1" s="35"/>
    <row r="862" ht="14.25" customHeight="1" s="35"/>
    <row r="863" ht="14.25" customHeight="1" s="35"/>
    <row r="864" ht="14.25" customHeight="1" s="35"/>
    <row r="865" ht="14.25" customHeight="1" s="35"/>
    <row r="866" ht="14.25" customHeight="1" s="35"/>
    <row r="867" ht="14.25" customHeight="1" s="35"/>
    <row r="868" ht="14.25" customHeight="1" s="35"/>
    <row r="869" ht="14.25" customHeight="1" s="35"/>
    <row r="870" ht="14.25" customHeight="1" s="35"/>
    <row r="871" ht="14.25" customHeight="1" s="35"/>
    <row r="872" ht="14.25" customHeight="1" s="35"/>
    <row r="873" ht="14.25" customHeight="1" s="35"/>
    <row r="874" ht="14.25" customHeight="1" s="35"/>
    <row r="875" ht="14.25" customHeight="1" s="35"/>
    <row r="876" ht="14.25" customHeight="1" s="35"/>
    <row r="877" ht="14.25" customHeight="1" s="35"/>
    <row r="878" ht="14.25" customHeight="1" s="35"/>
    <row r="879" ht="14.25" customHeight="1" s="35"/>
    <row r="880" ht="14.25" customHeight="1" s="35"/>
    <row r="881" ht="14.25" customHeight="1" s="35"/>
    <row r="882" ht="14.25" customHeight="1" s="35"/>
    <row r="883" ht="14.25" customHeight="1" s="35"/>
    <row r="884" ht="14.25" customHeight="1" s="35"/>
    <row r="885" ht="14.25" customHeight="1" s="35"/>
    <row r="886" ht="14.25" customHeight="1" s="35"/>
    <row r="887" ht="14.25" customHeight="1" s="35"/>
    <row r="888" ht="14.25" customHeight="1" s="35"/>
    <row r="889" ht="14.25" customHeight="1" s="35"/>
    <row r="890" ht="14.25" customHeight="1" s="35"/>
    <row r="891" ht="14.25" customHeight="1" s="35"/>
    <row r="892" ht="14.25" customHeight="1" s="35"/>
    <row r="893" ht="14.25" customHeight="1" s="35"/>
    <row r="894" ht="14.25" customHeight="1" s="35"/>
    <row r="895" ht="14.25" customHeight="1" s="35"/>
    <row r="896" ht="14.25" customHeight="1" s="35"/>
    <row r="897" ht="14.25" customHeight="1" s="35"/>
    <row r="898" ht="14.25" customHeight="1" s="35"/>
    <row r="899" ht="14.25" customHeight="1" s="35"/>
    <row r="900" ht="14.25" customHeight="1" s="35"/>
    <row r="901" ht="14.25" customHeight="1" s="35"/>
    <row r="902" ht="14.25" customHeight="1" s="35"/>
    <row r="903" ht="14.25" customHeight="1" s="35"/>
    <row r="904" ht="14.25" customHeight="1" s="35"/>
    <row r="905" ht="14.25" customHeight="1" s="35"/>
    <row r="906" ht="14.25" customHeight="1" s="35"/>
    <row r="907" ht="14.25" customHeight="1" s="35"/>
    <row r="908" ht="14.25" customHeight="1" s="35"/>
    <row r="909" ht="14.25" customHeight="1" s="35"/>
    <row r="910" ht="14.25" customHeight="1" s="35"/>
    <row r="911" ht="14.25" customHeight="1" s="35"/>
    <row r="912" ht="14.25" customHeight="1" s="35"/>
    <row r="913" ht="14.25" customHeight="1" s="35"/>
    <row r="914" ht="14.25" customHeight="1" s="35"/>
    <row r="915" ht="14.25" customHeight="1" s="35"/>
    <row r="916" ht="14.25" customHeight="1" s="35"/>
    <row r="917" ht="14.25" customHeight="1" s="35"/>
    <row r="918" ht="14.25" customHeight="1" s="35"/>
    <row r="919" ht="14.25" customHeight="1" s="35"/>
    <row r="920" ht="14.25" customHeight="1" s="35"/>
    <row r="921" ht="14.25" customHeight="1" s="35"/>
    <row r="922" ht="14.25" customHeight="1" s="35"/>
    <row r="923" ht="14.25" customHeight="1" s="35"/>
    <row r="924" ht="14.25" customHeight="1" s="35"/>
    <row r="925" ht="14.25" customHeight="1" s="35"/>
    <row r="926" ht="14.25" customHeight="1" s="35"/>
    <row r="927" ht="14.25" customHeight="1" s="35"/>
    <row r="928" ht="14.25" customHeight="1" s="35"/>
    <row r="929" ht="14.25" customHeight="1" s="35"/>
    <row r="930" ht="14.25" customHeight="1" s="35"/>
    <row r="931" ht="14.25" customHeight="1" s="35"/>
    <row r="932" ht="14.25" customHeight="1" s="35"/>
    <row r="933" ht="14.25" customHeight="1" s="35"/>
    <row r="934" ht="14.25" customHeight="1" s="35"/>
    <row r="935" ht="14.25" customHeight="1" s="35"/>
    <row r="936" ht="14.25" customHeight="1" s="35"/>
    <row r="937" ht="14.25" customHeight="1" s="35"/>
    <row r="938" ht="14.25" customHeight="1" s="35"/>
    <row r="939" ht="14.25" customHeight="1" s="35"/>
    <row r="940" ht="14.25" customHeight="1" s="35"/>
    <row r="941" ht="14.25" customHeight="1" s="35"/>
    <row r="942" ht="14.25" customHeight="1" s="35"/>
    <row r="943" ht="14.25" customHeight="1" s="35"/>
    <row r="944" ht="14.25" customHeight="1" s="35"/>
    <row r="945" ht="14.25" customHeight="1" s="35"/>
    <row r="946" ht="14.25" customHeight="1" s="35"/>
    <row r="947" ht="14.25" customHeight="1" s="35"/>
    <row r="948" ht="14.25" customHeight="1" s="35"/>
    <row r="949" ht="14.25" customHeight="1" s="35"/>
    <row r="950" ht="14.25" customHeight="1" s="35"/>
    <row r="951" ht="14.25" customHeight="1" s="35"/>
    <row r="952" ht="14.25" customHeight="1" s="35"/>
    <row r="953" ht="14.25" customHeight="1" s="35"/>
    <row r="954" ht="14.25" customHeight="1" s="35"/>
    <row r="955" ht="14.25" customHeight="1" s="35"/>
    <row r="956" ht="14.25" customHeight="1" s="35"/>
    <row r="957" ht="14.25" customHeight="1" s="35"/>
    <row r="958" ht="14.25" customHeight="1" s="35"/>
    <row r="959" ht="14.25" customHeight="1" s="35"/>
    <row r="960" ht="14.25" customHeight="1" s="35"/>
    <row r="961" ht="14.25" customHeight="1" s="35"/>
    <row r="962" ht="14.25" customHeight="1" s="35"/>
    <row r="963" ht="14.25" customHeight="1" s="35"/>
    <row r="964" ht="14.25" customHeight="1" s="35"/>
    <row r="965" ht="14.25" customHeight="1" s="35"/>
    <row r="966" ht="14.25" customHeight="1" s="35"/>
    <row r="967" ht="14.25" customHeight="1" s="35"/>
    <row r="968" ht="14.25" customHeight="1" s="35"/>
    <row r="969" ht="14.25" customHeight="1" s="35"/>
    <row r="970" ht="14.25" customHeight="1" s="35"/>
    <row r="971" ht="14.25" customHeight="1" s="35"/>
    <row r="972" ht="14.25" customHeight="1" s="35"/>
    <row r="973" ht="14.25" customHeight="1" s="35"/>
    <row r="974" ht="14.25" customHeight="1" s="35"/>
    <row r="975" ht="14.25" customHeight="1" s="35"/>
    <row r="976" ht="14.25" customHeight="1" s="35"/>
    <row r="977" ht="14.25" customHeight="1" s="35"/>
    <row r="978" ht="14.25" customHeight="1" s="35"/>
    <row r="979" ht="14.25" customHeight="1" s="35"/>
    <row r="980" ht="14.25" customHeight="1" s="35"/>
    <row r="981" ht="14.25" customHeight="1" s="35"/>
    <row r="982" ht="14.25" customHeight="1" s="35"/>
    <row r="983" ht="14.25" customHeight="1" s="35"/>
    <row r="984" ht="14.25" customHeight="1" s="35"/>
    <row r="985" ht="14.25" customHeight="1" s="35"/>
    <row r="986" ht="14.25" customHeight="1" s="35"/>
    <row r="987" ht="14.25" customHeight="1" s="35"/>
    <row r="988" ht="14.25" customHeight="1" s="35"/>
    <row r="989" ht="14.25" customHeight="1" s="35"/>
    <row r="990" ht="14.25" customHeight="1" s="35"/>
    <row r="991" ht="14.25" customHeight="1" s="35"/>
    <row r="992" ht="14.25" customHeight="1" s="35"/>
    <row r="993" ht="14.25" customHeight="1" s="35"/>
    <row r="994" ht="14.25" customHeight="1" s="35"/>
    <row r="995" ht="14.25" customHeight="1" s="35"/>
    <row r="996" ht="14.25" customHeight="1" s="35"/>
    <row r="997" ht="14.25" customHeight="1" s="35"/>
    <row r="998" ht="14.25" customHeight="1" s="35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S2" sqref="S2"/>
    </sheetView>
  </sheetViews>
  <sheetFormatPr baseColWidth="8" defaultColWidth="14.453125" defaultRowHeight="15" customHeight="1"/>
  <cols>
    <col width="6.453125" customWidth="1" style="35" min="1" max="1"/>
    <col width="7" customWidth="1" style="35" min="2" max="2"/>
    <col width="31.81640625" customWidth="1" style="35" min="3" max="3"/>
    <col hidden="1" width="5" customWidth="1" style="35" min="4" max="12"/>
    <col hidden="1" width="5" customWidth="1" style="35" min="5" max="5"/>
    <col hidden="1" width="5" customWidth="1" style="35" min="6" max="6"/>
    <col hidden="1" width="5" customWidth="1" style="35" min="7" max="7"/>
    <col hidden="1" width="5" customWidth="1" style="35" min="8" max="8"/>
    <col hidden="1" width="5" customWidth="1" style="35" min="9" max="9"/>
    <col width="5" customWidth="1" style="35" min="10" max="10"/>
    <col hidden="1" width="5" customWidth="1" style="35" min="11" max="11"/>
    <col hidden="1" width="5" customWidth="1" style="35" min="12" max="12"/>
    <col hidden="1" width="5" customWidth="1" style="35" min="13" max="14"/>
    <col hidden="1" width="5" customWidth="1" style="35" min="14" max="14"/>
    <col hidden="1" width="5" customWidth="1" style="35" min="15" max="34"/>
    <col hidden="1" width="5" customWidth="1" style="35" min="16" max="16"/>
    <col width="5" customWidth="1" style="35" min="17" max="17"/>
    <col width="5" customWidth="1" style="35" min="18" max="18"/>
    <col width="5" customWidth="1" style="35" min="19" max="19"/>
    <col width="5" customWidth="1" style="35" min="20" max="20"/>
    <col width="5" customWidth="1" style="35" min="21" max="21"/>
    <col width="5" customWidth="1" style="35" min="22" max="22"/>
    <col width="5" customWidth="1" style="35" min="23" max="23"/>
    <col width="5" customWidth="1" style="35" min="24" max="24"/>
    <col width="5" customWidth="1" style="35" min="25" max="25"/>
    <col width="5" customWidth="1" style="35" min="26" max="26"/>
    <col width="5" customWidth="1" style="35" min="27" max="27"/>
    <col width="5" customWidth="1" style="35" min="28" max="28"/>
    <col width="5" customWidth="1" style="35" min="29" max="29"/>
    <col width="5" customWidth="1" style="35" min="30" max="30"/>
    <col width="5" customWidth="1" style="35" min="31" max="31"/>
    <col width="5" customWidth="1" style="35" min="32" max="32"/>
    <col width="5" customWidth="1" style="35" min="33" max="33"/>
    <col width="5" customWidth="1" style="35" min="34" max="34"/>
    <col hidden="1" width="8.7265625" customWidth="1" style="35" min="35" max="37"/>
    <col width="5.54296875" customWidth="1" style="35" min="38" max="41"/>
  </cols>
  <sheetData>
    <row r="1" ht="14.25" customHeight="1" s="35">
      <c r="A1" s="34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5">
      <c r="A2" s="36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5">
      <c r="A3" s="4" t="inlineStr">
        <is>
          <t>Kelas</t>
        </is>
      </c>
      <c r="B3" s="4" t="n"/>
      <c r="C3" s="4">
        <f>" : " &amp; IF(AJ2="","",AJ2)</f>
        <v/>
      </c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5">
      <c r="A4" s="4" t="inlineStr">
        <is>
          <t>Walikelas</t>
        </is>
      </c>
      <c r="B4" s="4" t="n"/>
      <c r="C4" s="4">
        <f>IFERROR(" :  " &amp;VLOOKUP($A$7&amp;$AJ$2,#REF!,6,FALSE), "")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5">
      <c r="A5" s="37" t="inlineStr">
        <is>
          <t>Nomor</t>
        </is>
      </c>
      <c r="B5" s="39" t="n"/>
      <c r="C5" s="40" t="inlineStr">
        <is>
          <t>Nama</t>
        </is>
      </c>
      <c r="D5" s="37" t="inlineStr">
        <is>
          <t>April</t>
        </is>
      </c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9" t="n"/>
    </row>
    <row r="6" ht="14.25" customHeight="1" s="35">
      <c r="A6" s="37" t="inlineStr">
        <is>
          <t>Urt</t>
        </is>
      </c>
      <c r="B6" s="37" t="inlineStr">
        <is>
          <t>Induk</t>
        </is>
      </c>
      <c r="C6" s="41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M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5">
      <c r="A7" s="9" t="n">
        <v>1</v>
      </c>
      <c r="B7" s="10">
        <f>IFERROR(VLOOKUP(A7&amp;$AJ$2,Data!$A$2:$AM$131,3,FALSE), "")</f>
        <v/>
      </c>
      <c r="C7" s="11">
        <f>IFERROR(VLOOKUP(A7&amp;$AJ$2,Data!$A$2:$AM$131,4,FALSE), "")</f>
        <v/>
      </c>
      <c r="D7" s="8" t="inlineStr">
        <is>
          <t>I</t>
        </is>
      </c>
      <c r="E7" s="8" t="inlineStr">
        <is>
          <t>I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>
        <f>COUNTIF(D7:AH7,"S")</f>
        <v/>
      </c>
      <c r="AM7" s="8">
        <f>COUNTIF(D7:AH7,"I")</f>
        <v/>
      </c>
      <c r="AN7" s="8">
        <f>COUNTIF(D7:AH7,"A")</f>
        <v/>
      </c>
      <c r="AO7" s="8">
        <f>SUM(AL7:AN7)</f>
        <v/>
      </c>
    </row>
    <row r="8" ht="12" customHeight="1" s="35">
      <c r="A8" s="9" t="n">
        <v>2</v>
      </c>
      <c r="B8" s="10">
        <f>IFERROR(VLOOKUP(A8&amp;$AJ$2,Data!$A$2:$AM$131,3,FALSE), "")</f>
        <v/>
      </c>
      <c r="C8" s="11">
        <f>IFERROR(VLOOKUP(A8&amp;$AJ$2,Data!$A$2:$AM$131,4,FALSE), "")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>
        <f>COUNTIF(D8:AH8,"S")</f>
        <v/>
      </c>
      <c r="AM8" s="8">
        <f>COUNTIF(D8:AH8,"I")</f>
        <v/>
      </c>
      <c r="AN8" s="8">
        <f>COUNTIF(D8:AH8,"A")</f>
        <v/>
      </c>
      <c r="AO8" s="8">
        <f>SUM(AL8:AN8)</f>
        <v/>
      </c>
    </row>
    <row r="9" ht="12" customHeight="1" s="35">
      <c r="A9" s="9" t="n">
        <v>3</v>
      </c>
      <c r="B9" s="10">
        <f>IFERROR(VLOOKUP(A9&amp;$AJ$2,Data!$A$2:$AM$131,3,FALSE), "")</f>
        <v/>
      </c>
      <c r="C9" s="11">
        <f>IFERROR(VLOOKUP(A9&amp;$AJ$2,Data!$A$2:$AM$131,4,FALSE), "")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>
        <f>COUNTIF(D9:AH9,"S")</f>
        <v/>
      </c>
      <c r="AM9" s="8">
        <f>COUNTIF(D9:AH9,"I")</f>
        <v/>
      </c>
      <c r="AN9" s="8">
        <f>COUNTIF(D9:AH9,"A")</f>
        <v/>
      </c>
      <c r="AO9" s="8">
        <f>SUM(AL9:AN9)</f>
        <v/>
      </c>
    </row>
    <row r="10" ht="12" customHeight="1" s="35">
      <c r="A10" s="9" t="n">
        <v>4</v>
      </c>
      <c r="B10" s="10">
        <f>IFERROR(VLOOKUP(A10&amp;$AJ$2,Data!$A$2:$AM$131,3,FALSE), "")</f>
        <v/>
      </c>
      <c r="C10" s="11">
        <f>IFERROR(VLOOKUP(A10&amp;$AJ$2,Data!$A$2:$AM$131,4,FALSE), "")</f>
        <v/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>
        <f>COUNTIF(D10:AH10,"S")</f>
        <v/>
      </c>
      <c r="AM10" s="8">
        <f>COUNTIF(D10:AH10,"I")</f>
        <v/>
      </c>
      <c r="AN10" s="8">
        <f>COUNTIF(D10:AH10,"A")</f>
        <v/>
      </c>
      <c r="AO10" s="8">
        <f>SUM(AL10:AN10)</f>
        <v/>
      </c>
    </row>
    <row r="11" ht="12" customHeight="1" s="35">
      <c r="A11" s="9" t="n">
        <v>5</v>
      </c>
      <c r="B11" s="10">
        <f>IFERROR(VLOOKUP(A11&amp;$AJ$2,Data!$A$2:$AM$131,3,FALSE), "")</f>
        <v/>
      </c>
      <c r="C11" s="11">
        <f>IFERROR(VLOOKUP(A11&amp;$AJ$2,Data!$A$2:$AM$131,4,FALSE), "")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>
        <f>COUNTIF(D11:AH11,"S")</f>
        <v/>
      </c>
      <c r="AM11" s="8">
        <f>COUNTIF(D11:AH11,"I")</f>
        <v/>
      </c>
      <c r="AN11" s="8">
        <f>COUNTIF(D11:AH11,"A")</f>
        <v/>
      </c>
      <c r="AO11" s="8">
        <f>SUM(AL11:AN11)</f>
        <v/>
      </c>
    </row>
    <row r="12" ht="12" customHeight="1" s="35">
      <c r="A12" s="9" t="n">
        <v>6</v>
      </c>
      <c r="B12" s="10">
        <f>IFERROR(VLOOKUP(A12&amp;$AJ$2,Data!$A$2:$AM$131,3,FALSE), "")</f>
        <v/>
      </c>
      <c r="C12" s="11">
        <f>IFERROR(VLOOKUP(A12&amp;$AJ$2,Data!$A$2:$AM$131,4,FALSE), "")</f>
        <v/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>
        <f>COUNTIF(D12:AH12,"S")</f>
        <v/>
      </c>
      <c r="AM12" s="8">
        <f>COUNTIF(D12:AH12,"I")</f>
        <v/>
      </c>
      <c r="AN12" s="8">
        <f>COUNTIF(D12:AH12,"A")</f>
        <v/>
      </c>
      <c r="AO12" s="8">
        <f>SUM(AL12:AN12)</f>
        <v/>
      </c>
    </row>
    <row r="13" ht="12" customHeight="1" s="35">
      <c r="A13" s="9" t="n">
        <v>7</v>
      </c>
      <c r="B13" s="10">
        <f>IFERROR(VLOOKUP(A13&amp;$AJ$2,Data!$A$2:$AM$131,3,FALSE), "")</f>
        <v/>
      </c>
      <c r="C13" s="11">
        <f>IFERROR(VLOOKUP(A13&amp;$AJ$2,Data!$A$2:$AM$131,4,FALSE), "")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>
        <f>COUNTIF(D13:AH13,"S")</f>
        <v/>
      </c>
      <c r="AM13" s="8">
        <f>COUNTIF(D13:AH13,"I")</f>
        <v/>
      </c>
      <c r="AN13" s="8">
        <f>COUNTIF(D13:AH13,"A")</f>
        <v/>
      </c>
      <c r="AO13" s="8">
        <f>SUM(AL13:AN13)</f>
        <v/>
      </c>
    </row>
    <row r="14" ht="12" customHeight="1" s="35">
      <c r="A14" s="9" t="n">
        <v>8</v>
      </c>
      <c r="B14" s="10">
        <f>IFERROR(VLOOKUP(A14&amp;$AJ$2,Data!$A$2:$AM$131,3,FALSE), "")</f>
        <v/>
      </c>
      <c r="C14" s="11">
        <f>IFERROR(VLOOKUP(A14&amp;$AJ$2,Data!$A$2:$AM$131,4,FALSE), "")</f>
        <v/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>
        <f>COUNTIF(D14:AH14,"S")</f>
        <v/>
      </c>
      <c r="AM14" s="8">
        <f>COUNTIF(D14:AH14,"I")</f>
        <v/>
      </c>
      <c r="AN14" s="8">
        <f>COUNTIF(D14:AH14,"A")</f>
        <v/>
      </c>
      <c r="AO14" s="8">
        <f>SUM(AL14:AN14)</f>
        <v/>
      </c>
    </row>
    <row r="15" ht="12" customHeight="1" s="35">
      <c r="A15" s="9" t="n">
        <v>9</v>
      </c>
      <c r="B15" s="10">
        <f>IFERROR(VLOOKUP(A15&amp;$AJ$2,Data!$A$2:$AM$131,3,FALSE), "")</f>
        <v/>
      </c>
      <c r="C15" s="11">
        <f>IFERROR(VLOOKUP(A15&amp;$AJ$2,Data!$A$2:$AM$131,4,FALSE), "")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>
        <f>COUNTIF(D15:AH15,"S")</f>
        <v/>
      </c>
      <c r="AM15" s="8">
        <f>COUNTIF(D15:AH15,"I")</f>
        <v/>
      </c>
      <c r="AN15" s="8">
        <f>COUNTIF(D15:AH15,"A")</f>
        <v/>
      </c>
      <c r="AO15" s="8">
        <f>SUM(AL15:AN15)</f>
        <v/>
      </c>
    </row>
    <row r="16" ht="12" customHeight="1" s="35">
      <c r="A16" s="9" t="n">
        <v>10</v>
      </c>
      <c r="B16" s="10">
        <f>IFERROR(VLOOKUP(A16&amp;$AJ$2,Data!$A$2:$AM$131,3,FALSE), "")</f>
        <v/>
      </c>
      <c r="C16" s="11">
        <f>IFERROR(VLOOKUP(A16&amp;$AJ$2,Data!$A$2:$AM$131,4,FALSE), "")</f>
        <v/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>
        <f>COUNTIF(D16:AH16,"S")</f>
        <v/>
      </c>
      <c r="AM16" s="8">
        <f>COUNTIF(D16:AH16,"I")</f>
        <v/>
      </c>
      <c r="AN16" s="8">
        <f>COUNTIF(D16:AH16,"A")</f>
        <v/>
      </c>
      <c r="AO16" s="8">
        <f>SUM(AL16:AN16)</f>
        <v/>
      </c>
    </row>
    <row r="17" ht="12" customHeight="1" s="35">
      <c r="A17" s="9" t="n">
        <v>11</v>
      </c>
      <c r="B17" s="10">
        <f>IFERROR(VLOOKUP(A17&amp;$AJ$2,Data!$A$2:$AM$131,3,FALSE), "")</f>
        <v/>
      </c>
      <c r="C17" s="11">
        <f>IFERROR(VLOOKUP(A17&amp;$AJ$2,Data!$A$2:$AM$131,4,FALSE), "")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>
        <f>COUNTIF(D17:AH17,"S")</f>
        <v/>
      </c>
      <c r="AM17" s="8">
        <f>COUNTIF(D17:AH17,"I")</f>
        <v/>
      </c>
      <c r="AN17" s="8">
        <f>COUNTIF(D17:AH17,"A")</f>
        <v/>
      </c>
      <c r="AO17" s="8">
        <f>SUM(AL17:AN17)</f>
        <v/>
      </c>
    </row>
    <row r="18" ht="12" customHeight="1" s="35">
      <c r="A18" s="9" t="n">
        <v>12</v>
      </c>
      <c r="B18" s="10">
        <f>IFERROR(VLOOKUP(A18&amp;$AJ$2,Data!$A$2:$AM$131,3,FALSE), "")</f>
        <v/>
      </c>
      <c r="C18" s="11">
        <f>IFERROR(VLOOKUP(A18&amp;$AJ$2,Data!$A$2:$AM$131,4,FALSE), "")</f>
        <v/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>
        <f>COUNTIF(D18:AH18,"S")</f>
        <v/>
      </c>
      <c r="AM18" s="8">
        <f>COUNTIF(D18:AH18,"I")</f>
        <v/>
      </c>
      <c r="AN18" s="8">
        <f>COUNTIF(D18:AH18,"A")</f>
        <v/>
      </c>
      <c r="AO18" s="8">
        <f>SUM(AL18:AN18)</f>
        <v/>
      </c>
    </row>
    <row r="19" ht="12" customHeight="1" s="35">
      <c r="A19" s="9" t="n">
        <v>13</v>
      </c>
      <c r="B19" s="10">
        <f>IFERROR(VLOOKUP(A19&amp;$AJ$2,Data!$A$2:$AM$131,3,FALSE), "")</f>
        <v/>
      </c>
      <c r="C19" s="11">
        <f>IFERROR(VLOOKUP(A19&amp;$AJ$2,Data!$A$2:$AM$131,4,FALSE), "")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>
        <f>COUNTIF(D19:AH19,"S")</f>
        <v/>
      </c>
      <c r="AM19" s="8">
        <f>COUNTIF(D19:AH19,"I")</f>
        <v/>
      </c>
      <c r="AN19" s="8">
        <f>COUNTIF(D19:AH19,"A")</f>
        <v/>
      </c>
      <c r="AO19" s="8">
        <f>SUM(AL19:AN19)</f>
        <v/>
      </c>
    </row>
    <row r="20" ht="12" customHeight="1" s="35">
      <c r="A20" s="9" t="n">
        <v>14</v>
      </c>
      <c r="B20" s="10">
        <f>IFERROR(VLOOKUP(A20&amp;$AJ$2,Data!$A$2:$AM$131,3,FALSE), "")</f>
        <v/>
      </c>
      <c r="C20" s="11">
        <f>IFERROR(VLOOKUP(A20&amp;$AJ$2,Data!$A$2:$AM$131,4,FALSE), "")</f>
        <v/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>
        <f>COUNTIF(D20:AH20,"S")</f>
        <v/>
      </c>
      <c r="AM20" s="8">
        <f>COUNTIF(D20:AH20,"I")</f>
        <v/>
      </c>
      <c r="AN20" s="8">
        <f>COUNTIF(D20:AH20,"A")</f>
        <v/>
      </c>
      <c r="AO20" s="8">
        <f>SUM(AL20:AN20)</f>
        <v/>
      </c>
    </row>
    <row r="21" ht="12" customHeight="1" s="35">
      <c r="A21" s="9" t="n">
        <v>15</v>
      </c>
      <c r="B21" s="10">
        <f>IFERROR(VLOOKUP(A21&amp;$AJ$2,Data!$A$2:$AM$131,3,FALSE), "")</f>
        <v/>
      </c>
      <c r="C21" s="11">
        <f>IFERROR(VLOOKUP(A21&amp;$AJ$2,Data!$A$2:$AM$131,4,FALSE), "")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>
        <f>COUNTIF(D21:AH21,"S")</f>
        <v/>
      </c>
      <c r="AM21" s="8">
        <f>COUNTIF(D21:AH21,"I")</f>
        <v/>
      </c>
      <c r="AN21" s="8">
        <f>COUNTIF(D21:AH21,"A")</f>
        <v/>
      </c>
      <c r="AO21" s="8">
        <f>SUM(AL21:AN21)</f>
        <v/>
      </c>
    </row>
    <row r="22" ht="12" customHeight="1" s="35">
      <c r="A22" s="9" t="n">
        <v>16</v>
      </c>
      <c r="B22" s="10">
        <f>IFERROR(VLOOKUP(A22&amp;$AJ$2,Data!$A$2:$AM$131,3,FALSE), "")</f>
        <v/>
      </c>
      <c r="C22" s="11">
        <f>IFERROR(VLOOKUP(A22&amp;$AJ$2,Data!$A$2:$AM$131,4,FALSE), "")</f>
        <v/>
      </c>
      <c r="D22" s="8" t="inlineStr">
        <is>
          <t>S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>
        <f>COUNTIF(D22:AH22,"S")</f>
        <v/>
      </c>
      <c r="AM22" s="8">
        <f>COUNTIF(D22:AH22,"I")</f>
        <v/>
      </c>
      <c r="AN22" s="8">
        <f>COUNTIF(D22:AH22,"A")</f>
        <v/>
      </c>
      <c r="AO22" s="8">
        <f>SUM(AL22:AN22)</f>
        <v/>
      </c>
    </row>
    <row r="23" ht="12" customHeight="1" s="35">
      <c r="A23" s="9" t="n">
        <v>17</v>
      </c>
      <c r="B23" s="10">
        <f>IFERROR(VLOOKUP(A23&amp;$AJ$2,Data!$A$2:$AM$131,3,FALSE), "")</f>
        <v/>
      </c>
      <c r="C23" s="11">
        <f>IFERROR(VLOOKUP(A23&amp;$AJ$2,Data!$A$2:$AM$131,4,FALSE), "")</f>
        <v/>
      </c>
      <c r="D23" s="8" t="n"/>
      <c r="E23" s="8" t="n"/>
      <c r="F23" s="8" t="n"/>
      <c r="G23" s="8" t="n"/>
      <c r="H23" s="8" t="n"/>
      <c r="I23" s="8" t="inlineStr">
        <is>
          <t>I</t>
        </is>
      </c>
      <c r="J23" s="8" t="inlineStr">
        <is>
          <t>I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>
        <f>COUNTIF(D23:AH23,"S")</f>
        <v/>
      </c>
      <c r="AM23" s="8">
        <f>COUNTIF(D23:AH23,"I")</f>
        <v/>
      </c>
      <c r="AN23" s="8">
        <f>COUNTIF(D23:AH23,"A")</f>
        <v/>
      </c>
      <c r="AO23" s="8">
        <f>SUM(AL23:AN23)</f>
        <v/>
      </c>
    </row>
    <row r="24" ht="12" customHeight="1" s="35">
      <c r="A24" s="9" t="n">
        <v>18</v>
      </c>
      <c r="B24" s="10">
        <f>IFERROR(VLOOKUP(A24&amp;$AJ$2,Data!$A$2:$AM$131,3,FALSE), "")</f>
        <v/>
      </c>
      <c r="C24" s="11">
        <f>IFERROR(VLOOKUP(A24&amp;$AJ$2,Data!$A$2:$AM$131,4,FALSE), "")</f>
        <v/>
      </c>
      <c r="D24" s="8" t="n"/>
      <c r="E24" s="8" t="n"/>
      <c r="F24" s="8" t="n"/>
      <c r="G24" s="8" t="n"/>
      <c r="H24" s="8" t="n"/>
      <c r="I24" s="8" t="inlineStr">
        <is>
          <t>S</t>
        </is>
      </c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>
        <f>COUNTIF(D24:AH24,"S")</f>
        <v/>
      </c>
      <c r="AM24" s="8">
        <f>COUNTIF(D24:AH24,"I")</f>
        <v/>
      </c>
      <c r="AN24" s="8">
        <f>COUNTIF(D24:AH24,"A")</f>
        <v/>
      </c>
      <c r="AO24" s="8">
        <f>SUM(AL24:AN24)</f>
        <v/>
      </c>
    </row>
    <row r="25" ht="12" customHeight="1" s="35">
      <c r="A25" s="9" t="n">
        <v>19</v>
      </c>
      <c r="B25" s="10">
        <f>IFERROR(VLOOKUP(A25&amp;$AJ$2,Data!$A$2:$AM$131,3,FALSE), "")</f>
        <v/>
      </c>
      <c r="C25" s="11">
        <f>IFERROR(VLOOKUP(A25&amp;$AJ$2,Data!$A$2:$AM$131,4,FALSE), "")</f>
        <v/>
      </c>
      <c r="D25" s="8" t="inlineStr">
        <is>
          <t>I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>
        <f>COUNTIF(D25:AH25,"S")</f>
        <v/>
      </c>
      <c r="AM25" s="8">
        <f>COUNTIF(D25:AH25,"I")</f>
        <v/>
      </c>
      <c r="AN25" s="8">
        <f>COUNTIF(D25:AH25,"A")</f>
        <v/>
      </c>
      <c r="AO25" s="8">
        <f>SUM(AL25:AN25)</f>
        <v/>
      </c>
    </row>
    <row r="26" ht="12" customHeight="1" s="35">
      <c r="A26" s="9" t="n">
        <v>20</v>
      </c>
      <c r="B26" s="10">
        <f>IFERROR(VLOOKUP(A26&amp;$AJ$2,Data!$A$2:$AM$131,3,FALSE), "")</f>
        <v/>
      </c>
      <c r="C26" s="11">
        <f>IFERROR(VLOOKUP(A26&amp;$AJ$2,Data!$A$2:$AM$131,4,FALSE), "")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>
        <f>COUNTIF(D26:AH26,"S")</f>
        <v/>
      </c>
      <c r="AM26" s="8">
        <f>COUNTIF(D26:AH26,"I")</f>
        <v/>
      </c>
      <c r="AN26" s="8">
        <f>COUNTIF(D26:AH26,"A")</f>
        <v/>
      </c>
      <c r="AO26" s="8">
        <f>SUM(AL26:AN26)</f>
        <v/>
      </c>
    </row>
    <row r="27" ht="12" customHeight="1" s="35">
      <c r="A27" s="9" t="n">
        <v>21</v>
      </c>
      <c r="B27" s="10">
        <f>IFERROR(VLOOKUP(A27&amp;$AJ$2,Data!$A$2:$AM$131,3,FALSE), "")</f>
        <v/>
      </c>
      <c r="C27" s="11">
        <f>IFERROR(VLOOKUP(A27&amp;$AJ$2,Data!$A$2:$AM$131,4,FALSE), "")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>
        <f>COUNTIF(D27:AH27,"S")</f>
        <v/>
      </c>
      <c r="AM27" s="8">
        <f>COUNTIF(D27:AH27,"I")</f>
        <v/>
      </c>
      <c r="AN27" s="8">
        <f>COUNTIF(D27:AH27,"A")</f>
        <v/>
      </c>
      <c r="AO27" s="8">
        <f>SUM(AL27:AN27)</f>
        <v/>
      </c>
    </row>
    <row r="28" ht="12" customHeight="1" s="35">
      <c r="A28" s="9" t="n">
        <v>22</v>
      </c>
      <c r="B28" s="10">
        <f>IFERROR(VLOOKUP(A28&amp;$AJ$2,Data!$A$2:$AM$131,3,FALSE), "")</f>
        <v/>
      </c>
      <c r="C28" s="11">
        <f>IFERROR(VLOOKUP(A28&amp;$AJ$2,Data!$A$2:$AM$131,4,FALSE), "")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>
        <f>COUNTIF(D28:AH28,"S")</f>
        <v/>
      </c>
      <c r="AM28" s="8">
        <f>COUNTIF(D28:AH28,"I")</f>
        <v/>
      </c>
      <c r="AN28" s="8">
        <f>COUNTIF(D28:AH28,"A")</f>
        <v/>
      </c>
      <c r="AO28" s="8">
        <f>SUM(AL28:AN28)</f>
        <v/>
      </c>
    </row>
    <row r="29" ht="12" customHeight="1" s="35">
      <c r="A29" s="9" t="n">
        <v>23</v>
      </c>
      <c r="B29" s="10">
        <f>IFERROR(VLOOKUP(A29&amp;$AJ$2,Data!$A$2:$AM$131,3,FALSE), "")</f>
        <v/>
      </c>
      <c r="C29" s="11">
        <f>IFERROR(VLOOKUP(A29&amp;$AJ$2,Data!$A$2:$AM$131,4,FALSE), "")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>
        <f>COUNTIF(D29:AH29,"S")</f>
        <v/>
      </c>
      <c r="AM29" s="8">
        <f>COUNTIF(D29:AH29,"I")</f>
        <v/>
      </c>
      <c r="AN29" s="8">
        <f>COUNTIF(D29:AH29,"A")</f>
        <v/>
      </c>
      <c r="AO29" s="8">
        <f>SUM(AL29:AN29)</f>
        <v/>
      </c>
    </row>
    <row r="30" ht="12" customHeight="1" s="35">
      <c r="A30" s="9" t="n">
        <v>24</v>
      </c>
      <c r="B30" s="10">
        <f>IFERROR(VLOOKUP(A30&amp;$AJ$2,Data!$A$2:$AM$131,3,FALSE), "")</f>
        <v/>
      </c>
      <c r="C30" s="11">
        <f>IFERROR(VLOOKUP(A30&amp;$AJ$2,Data!$A$2:$AM$131,4,FALSE), "")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>
        <f>COUNTIF(D30:AH30,"S")</f>
        <v/>
      </c>
      <c r="AM30" s="8">
        <f>COUNTIF(D30:AH30,"I")</f>
        <v/>
      </c>
      <c r="AN30" s="8">
        <f>COUNTIF(D30:AH30,"A")</f>
        <v/>
      </c>
      <c r="AO30" s="8">
        <f>SUM(AL30:AN30)</f>
        <v/>
      </c>
    </row>
    <row r="31" ht="12" customHeight="1" s="35">
      <c r="A31" s="9" t="n">
        <v>25</v>
      </c>
      <c r="B31" s="10">
        <f>IFERROR(VLOOKUP(A31&amp;$AJ$2,Data!$A$2:$AM$131,3,FALSE), "")</f>
        <v/>
      </c>
      <c r="C31" s="11">
        <f>IFERROR(VLOOKUP(A31&amp;$AJ$2,Data!$A$2:$AM$131,4,FALSE), "")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>
        <f>COUNTIF(D31:AH31,"S")</f>
        <v/>
      </c>
      <c r="AM31" s="8">
        <f>COUNTIF(D31:AH31,"I")</f>
        <v/>
      </c>
      <c r="AN31" s="8">
        <f>COUNTIF(D31:AH31,"A")</f>
        <v/>
      </c>
      <c r="AO31" s="8">
        <f>SUM(AL31:AN31)</f>
        <v/>
      </c>
    </row>
    <row r="32" ht="12" customHeight="1" s="35">
      <c r="A32" s="9" t="n">
        <v>26</v>
      </c>
      <c r="B32" s="10">
        <f>IFERROR(VLOOKUP(A32&amp;$AJ$2,Data!$A$2:$AM$131,3,FALSE), "")</f>
        <v/>
      </c>
      <c r="C32" s="11">
        <f>IFERROR(VLOOKUP(A32&amp;$AJ$2,Data!$A$2:$AM$131,4,FALSE), "")</f>
        <v/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>
        <f>COUNTIF(D32:AH32,"S")</f>
        <v/>
      </c>
      <c r="AM32" s="8">
        <f>COUNTIF(D32:AH32,"I")</f>
        <v/>
      </c>
      <c r="AN32" s="8">
        <f>COUNTIF(D32:AH32,"A")</f>
        <v/>
      </c>
      <c r="AO32" s="8">
        <f>SUM(AL32:AN32)</f>
        <v/>
      </c>
    </row>
    <row r="33" ht="12" customHeight="1" s="35">
      <c r="A33" s="9" t="n">
        <v>27</v>
      </c>
      <c r="B33" s="10">
        <f>IFERROR(VLOOKUP(A33&amp;$AJ$2,Data!$A$2:$AM$131,3,FALSE), "")</f>
        <v/>
      </c>
      <c r="C33" s="11">
        <f>IFERROR(VLOOKUP(A33&amp;$AJ$2,Data!$A$2:$AM$131,4,FALSE), "")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>
        <f>COUNTIF(D33:AH33,"S")</f>
        <v/>
      </c>
      <c r="AM33" s="8">
        <f>COUNTIF(D33:AH33,"I")</f>
        <v/>
      </c>
      <c r="AN33" s="8">
        <f>COUNTIF(D33:AH33,"A")</f>
        <v/>
      </c>
      <c r="AO33" s="8">
        <f>SUM(AL33:AN33)</f>
        <v/>
      </c>
    </row>
    <row r="34" ht="12" customHeight="1" s="35">
      <c r="A34" s="9" t="n">
        <v>28</v>
      </c>
      <c r="B34" s="10">
        <f>IFERROR(VLOOKUP(A34&amp;$AJ$2,Data!$A$2:$AM$131,3,FALSE), "")</f>
        <v/>
      </c>
      <c r="C34" s="11">
        <f>IFERROR(VLOOKUP(A34&amp;$AJ$2,Data!$A$2:$AM$131,4,FALSE), "")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>
        <f>COUNTIF(D34:AH34,"S")</f>
        <v/>
      </c>
      <c r="AM34" s="8">
        <f>COUNTIF(D34:AH34,"I")</f>
        <v/>
      </c>
      <c r="AN34" s="8">
        <f>COUNTIF(D34:AH34,"A")</f>
        <v/>
      </c>
      <c r="AO34" s="8">
        <f>SUM(AL34:AN34)</f>
        <v/>
      </c>
    </row>
    <row r="35" ht="12" customHeight="1" s="35">
      <c r="A35" s="9" t="n">
        <v>29</v>
      </c>
      <c r="B35" s="10">
        <f>IFERROR(VLOOKUP(A35&amp;$AJ$2,Data!$A$2:$AM$131,3,FALSE), "")</f>
        <v/>
      </c>
      <c r="C35" s="11">
        <f>IFERROR(VLOOKUP(A35&amp;$AJ$2,Data!$A$2:$AM$131,4,FALSE), "")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>
        <f>COUNTIF(D35:AH35,"S")</f>
        <v/>
      </c>
      <c r="AM35" s="8">
        <f>COUNTIF(D35:AH35,"I")</f>
        <v/>
      </c>
      <c r="AN35" s="8">
        <f>COUNTIF(D35:AH35,"A")</f>
        <v/>
      </c>
      <c r="AO35" s="8">
        <f>SUM(AL35:AN35)</f>
        <v/>
      </c>
    </row>
    <row r="36" ht="12" customHeight="1" s="35">
      <c r="A36" s="9" t="n">
        <v>30</v>
      </c>
      <c r="B36" s="10">
        <f>IFERROR(VLOOKUP(A36&amp;$AJ$2,Data!$A$2:$AM$131,3,FALSE), "")</f>
        <v/>
      </c>
      <c r="C36" s="11">
        <f>IFERROR(VLOOKUP(A36&amp;$AJ$2,Data!$A$2:$AM$131,4,FALSE), "")</f>
        <v/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>
        <f>COUNTIF(D36:AH36,"S")</f>
        <v/>
      </c>
      <c r="AM36" s="8">
        <f>COUNTIF(D36:AH36,"I")</f>
        <v/>
      </c>
      <c r="AN36" s="8">
        <f>COUNTIF(D36:AH36,"A")</f>
        <v/>
      </c>
      <c r="AO36" s="8">
        <f>SUM(AL36:AN36)</f>
        <v/>
      </c>
    </row>
    <row r="37" ht="12" customHeight="1" s="35">
      <c r="A37" s="9" t="n">
        <v>31</v>
      </c>
      <c r="B37" s="10">
        <f>IFERROR(VLOOKUP(A37&amp;$AJ$2,Data!$A$2:$AM$131,3,FALSE), "")</f>
        <v/>
      </c>
      <c r="C37" s="11">
        <f>IFERROR(VLOOKUP(A37&amp;$AJ$2,Data!$A$2:$AM$131,4,FALSE), "")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>
        <f>COUNTIF(D37:AH37,"S")</f>
        <v/>
      </c>
      <c r="AM37" s="8">
        <f>COUNTIF(D37:AH37,"I")</f>
        <v/>
      </c>
      <c r="AN37" s="8">
        <f>COUNTIF(D37:AH37,"A")</f>
        <v/>
      </c>
      <c r="AO37" s="8">
        <f>SUM(AL37:AN37)</f>
        <v/>
      </c>
    </row>
    <row r="38" ht="12" customHeight="1" s="35">
      <c r="A38" s="9" t="n">
        <v>32</v>
      </c>
      <c r="B38" s="10">
        <f>IFERROR(VLOOKUP(A38&amp;$AJ$2,Data!$A$2:$AM$131,3,FALSE), "")</f>
        <v/>
      </c>
      <c r="C38" s="11">
        <f>IFERROR(VLOOKUP(A38&amp;$AJ$2,Data!$A$2:$AM$131,4,FALSE), "")</f>
        <v/>
      </c>
      <c r="D38" s="8" t="n"/>
      <c r="E38" s="8" t="n"/>
      <c r="F38" s="8" t="n"/>
      <c r="G38" s="8" t="n"/>
      <c r="H38" s="8" t="n"/>
      <c r="I38" s="8" t="inlineStr">
        <is>
          <t>S</t>
        </is>
      </c>
      <c r="J38" s="8" t="inlineStr">
        <is>
          <t>S</t>
        </is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>
        <f>COUNTIF(D38:AH38,"S")</f>
        <v/>
      </c>
      <c r="AM38" s="8">
        <f>COUNTIF(D38:AH38,"I")</f>
        <v/>
      </c>
      <c r="AN38" s="8">
        <f>COUNTIF(D38:AH38,"A")</f>
        <v/>
      </c>
      <c r="AO38" s="8">
        <f>SUM(AL38:AN38)</f>
        <v/>
      </c>
    </row>
    <row r="39" ht="12" customHeight="1" s="35">
      <c r="A39" s="9" t="n">
        <v>33</v>
      </c>
      <c r="B39" s="10">
        <f>IFERROR(VLOOKUP(A39&amp;$AJ$2,Data!$A$2:$AM$131,3,FALSE), "")</f>
        <v/>
      </c>
      <c r="C39" s="11">
        <f>IFERROR(VLOOKUP(A39&amp;$AJ$2,Data!$A$2:$AM$131,4,FALSE), "")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>
        <f>COUNTIF(D39:AH39,"S")</f>
        <v/>
      </c>
      <c r="AM39" s="8">
        <f>COUNTIF(D39:AH39,"I")</f>
        <v/>
      </c>
      <c r="AN39" s="8">
        <f>COUNTIF(D39:AH39,"A")</f>
        <v/>
      </c>
      <c r="AO39" s="8">
        <f>SUM(AL39:AN39)</f>
        <v/>
      </c>
    </row>
    <row r="40" ht="12" customHeight="1" s="35">
      <c r="A40" s="9" t="n">
        <v>34</v>
      </c>
      <c r="B40" s="10">
        <f>IFERROR(VLOOKUP(A40&amp;$AJ$2,Data!$A$2:$AM$131,3,FALSE), "")</f>
        <v/>
      </c>
      <c r="C40" s="11">
        <f>IFERROR(VLOOKUP(A40&amp;$AJ$2,Data!$A$2:$AM$131,4,FALSE), "")</f>
        <v/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>
        <f>COUNTIF(D40:AH40,"S")</f>
        <v/>
      </c>
      <c r="AM40" s="8">
        <f>COUNTIF(D40:AH40,"I")</f>
        <v/>
      </c>
      <c r="AN40" s="8">
        <f>COUNTIF(D40:AH40,"A")</f>
        <v/>
      </c>
      <c r="AO40" s="8">
        <f>SUM(AL40:AN40)</f>
        <v/>
      </c>
    </row>
    <row r="41" ht="12" customHeight="1" s="35">
      <c r="A41" s="9" t="n">
        <v>35</v>
      </c>
      <c r="B41" s="10">
        <f>IFERROR(VLOOKUP(A41&amp;$AJ$2,Data!$A$2:$AM$131,3,FALSE), "")</f>
        <v/>
      </c>
      <c r="C41" s="11">
        <f>IFERROR(VLOOKUP(A41&amp;$AJ$2,Data!$A$2:$AM$131,4,FALSE), "")</f>
        <v/>
      </c>
      <c r="D41" s="8" t="n"/>
      <c r="E41" s="8" t="inlineStr">
        <is>
          <t>I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>
        <f>COUNTIF(D41:AH41,"S")</f>
        <v/>
      </c>
      <c r="AM41" s="8">
        <f>COUNTIF(D41:AH41,"I")</f>
        <v/>
      </c>
      <c r="AN41" s="8">
        <f>COUNTIF(D41:AH41,"A")</f>
        <v/>
      </c>
      <c r="AO41" s="8">
        <f>SUM(AL41:AN41)</f>
        <v/>
      </c>
    </row>
    <row r="42" ht="12" customHeight="1" s="35">
      <c r="A42" s="9" t="n">
        <v>36</v>
      </c>
      <c r="B42" s="10">
        <f>IFERROR(VLOOKUP(A42&amp;$AJ$2,Data!$A$2:$AM$131,3,FALSE), "")</f>
        <v/>
      </c>
      <c r="C42" s="11">
        <f>IFERROR(VLOOKUP(A42&amp;$AJ$2,Data!$A$2:$AM$131,4,FALSE), "")</f>
        <v/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>
        <f>COUNTIF(D42:AH42,"S")</f>
        <v/>
      </c>
      <c r="AM42" s="8">
        <f>COUNTIF(D42:AH42,"I")</f>
        <v/>
      </c>
      <c r="AN42" s="8">
        <f>COUNTIF(D42:AH42,"A")</f>
        <v/>
      </c>
      <c r="AO42" s="8">
        <f>SUM(AL42:AN42)</f>
        <v/>
      </c>
    </row>
    <row r="43" ht="14.25" customHeight="1" s="35">
      <c r="A43" s="9" t="n">
        <v>37</v>
      </c>
      <c r="B43" s="10">
        <f>IFERROR(VLOOKUP(A43&amp;$AJ$2,Data!$A$2:$AM$131,3,FALSE), "")</f>
        <v/>
      </c>
      <c r="C43" s="11">
        <f>IFERROR(VLOOKUP(A43&amp;$AJ$2,Data!$A$2:$AM$131,4,FALSE), "")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>
        <f>COUNTIF(D43:AH43,"S")</f>
        <v/>
      </c>
      <c r="AM43" s="8">
        <f>COUNTIF(D43:AH43,"I")</f>
        <v/>
      </c>
      <c r="AN43" s="8">
        <f>COUNTIF(D43:AH43,"A")</f>
        <v/>
      </c>
      <c r="AO43" s="8">
        <f>SUM(AL43:AN43)</f>
        <v/>
      </c>
    </row>
    <row r="44" ht="14.25" customHeight="1" s="35">
      <c r="A44" s="9" t="n">
        <v>38</v>
      </c>
      <c r="B44" s="10">
        <f>IFERROR(VLOOKUP(A44&amp;$AJ$2,Data!$A$2:$AM$131,3,FALSE), "")</f>
        <v/>
      </c>
      <c r="C44" s="11">
        <f>IFERROR(VLOOKUP(A44&amp;$AJ$2,Data!$A$2:$AM$131,4,FALSE), "")</f>
        <v/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>
        <f>COUNTIF(D44:AH44,"S")</f>
        <v/>
      </c>
      <c r="AM44" s="8">
        <f>COUNTIF(D44:AH44,"I")</f>
        <v/>
      </c>
      <c r="AN44" s="8">
        <f>COUNTIF(D44:AH44,"A")</f>
        <v/>
      </c>
      <c r="AO44" s="8">
        <f>SUM(AL44:AN44)</f>
        <v/>
      </c>
    </row>
    <row r="45" ht="14.25" customHeight="1" s="35">
      <c r="A45" s="9" t="n">
        <v>39</v>
      </c>
      <c r="B45" s="10">
        <f>IFERROR(VLOOKUP(A45&amp;$AJ$2,Data!$A$2:$AM$131,3,FALSE), "")</f>
        <v/>
      </c>
      <c r="C45" s="11">
        <f>IFERROR(VLOOKUP(A45&amp;$AJ$2,Data!$A$2:$AM$131,4,FALSE), "")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>
        <f>COUNTIF(D45:AH45,"S")</f>
        <v/>
      </c>
      <c r="AM45" s="8">
        <f>COUNTIF(D45:AH45,"I")</f>
        <v/>
      </c>
      <c r="AN45" s="8">
        <f>COUNTIF(D45:AH45,"A")</f>
        <v/>
      </c>
      <c r="AO45" s="8">
        <f>SUM(AL45:AN45)</f>
        <v/>
      </c>
    </row>
    <row r="46" ht="14.25" customHeight="1" s="35">
      <c r="A46" s="9" t="n">
        <v>40</v>
      </c>
      <c r="B46" s="10">
        <f>IFERROR(VLOOKUP(A46&amp;$AJ$2,Data!$A$2:$AM$131,3,FALSE), "")</f>
        <v/>
      </c>
      <c r="C46" s="11">
        <f>IFERROR(VLOOKUP(A46&amp;$AJ$2,Data!$A$2:$AM$131,4,FALSE), "")</f>
        <v/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>
        <f>COUNTIF(D46:AH46,"S")</f>
        <v/>
      </c>
      <c r="AM46" s="8">
        <f>COUNTIF(D46:AH46,"I")</f>
        <v/>
      </c>
      <c r="AN46" s="8">
        <f>COUNTIF(D46:AH46,"A")</f>
        <v/>
      </c>
      <c r="AO46" s="8">
        <f>SUM(AL46:AN46)</f>
        <v/>
      </c>
    </row>
    <row r="47" ht="14.25" customHeight="1" s="35"/>
    <row r="48" ht="14.25" customHeight="1" s="35"/>
    <row r="49" ht="14.25" customHeight="1" s="35">
      <c r="C49" s="3" t="inlineStr">
        <is>
          <t>S</t>
        </is>
      </c>
      <c r="D49" s="15">
        <f>COUNTIF(D7:D47,"S")</f>
        <v/>
      </c>
      <c r="E49" s="15">
        <f>COUNTIF(E7:E47,"S")</f>
        <v/>
      </c>
      <c r="F49" s="15">
        <f>COUNTIF(F7:F47,"S")</f>
        <v/>
      </c>
      <c r="G49" s="15">
        <f>COUNTIF(G7:G47,"S")</f>
        <v/>
      </c>
      <c r="H49" s="15">
        <f>COUNTIF(H7:H47,"S")</f>
        <v/>
      </c>
      <c r="I49" s="15">
        <f>COUNTIF(I7:I47,"S")</f>
        <v/>
      </c>
      <c r="J49" s="15">
        <f>COUNTIF(J7:J47,"S")</f>
        <v/>
      </c>
      <c r="K49" s="15">
        <f>COUNTIF(K7:K47,"S")</f>
        <v/>
      </c>
      <c r="L49" s="15">
        <f>COUNTIF(L7:L47,"S")</f>
        <v/>
      </c>
      <c r="M49" s="15">
        <f>COUNTIF(M7:M47,"S")</f>
        <v/>
      </c>
      <c r="N49" s="15">
        <f>COUNTIF(N7:N47,"S")</f>
        <v/>
      </c>
      <c r="O49" s="15">
        <f>COUNTIF(O7:O47,"S")</f>
        <v/>
      </c>
      <c r="P49" s="15">
        <f>COUNTIF(P7:P47,"S")</f>
        <v/>
      </c>
      <c r="Q49" s="15">
        <f>COUNTIF(Q7:Q47,"S")</f>
        <v/>
      </c>
      <c r="R49" s="15">
        <f>COUNTIF(R7:R47,"S")</f>
        <v/>
      </c>
      <c r="S49" s="15">
        <f>COUNTIF(S7:S47,"S")</f>
        <v/>
      </c>
      <c r="T49" s="15">
        <f>COUNTIF(T7:T47,"S")</f>
        <v/>
      </c>
      <c r="U49" s="15">
        <f>COUNTIF(U7:U47,"S")</f>
        <v/>
      </c>
      <c r="V49" s="15">
        <f>COUNTIF(V7:V47,"S")</f>
        <v/>
      </c>
      <c r="W49" s="15">
        <f>COUNTIF(W7:W47,"S")</f>
        <v/>
      </c>
      <c r="X49" s="15">
        <f>COUNTIF(X7:X47,"S")</f>
        <v/>
      </c>
      <c r="Y49" s="15">
        <f>COUNTIF(Y7:Y47,"S")</f>
        <v/>
      </c>
      <c r="Z49" s="15">
        <f>COUNTIF(Z7:Z47,"S")</f>
        <v/>
      </c>
      <c r="AA49" s="15">
        <f>COUNTIF(AA7:AA47,"S")</f>
        <v/>
      </c>
      <c r="AB49" s="15">
        <f>COUNTIF(AB7:AB47,"S")</f>
        <v/>
      </c>
      <c r="AC49" s="15">
        <f>COUNTIF(AC7:AC47,"S")</f>
        <v/>
      </c>
      <c r="AD49" s="15">
        <f>COUNTIF(AD7:AD47,"S")</f>
        <v/>
      </c>
      <c r="AE49" s="15">
        <f>COUNTIF(AE7:AE47,"S")</f>
        <v/>
      </c>
      <c r="AF49" s="15">
        <f>COUNTIF(AF7:AF47,"S")</f>
        <v/>
      </c>
      <c r="AG49" s="15">
        <f>COUNTIF(AG7:AG47,"S")</f>
        <v/>
      </c>
      <c r="AH49" s="15">
        <f>COUNTIF(AH7:AH47,"S")</f>
        <v/>
      </c>
    </row>
    <row r="50" ht="14.25" customHeight="1" s="35">
      <c r="C50" s="3" t="inlineStr">
        <is>
          <t>I</t>
        </is>
      </c>
      <c r="D50" s="15">
        <f>COUNTIF(D7:D47,"I")</f>
        <v/>
      </c>
      <c r="E50" s="15">
        <f>COUNTIF(E7:E47,"I")</f>
        <v/>
      </c>
      <c r="F50" s="15">
        <f>COUNTIF(F7:F47,"I")</f>
        <v/>
      </c>
      <c r="G50" s="15">
        <f>COUNTIF(G7:G47,"I")</f>
        <v/>
      </c>
      <c r="H50" s="15">
        <f>COUNTIF(H7:H47,"I")</f>
        <v/>
      </c>
      <c r="I50" s="15">
        <f>COUNTIF(I7:I47,"I")</f>
        <v/>
      </c>
      <c r="J50" s="15">
        <f>COUNTIF(J7:J47,"I")</f>
        <v/>
      </c>
      <c r="K50" s="15">
        <f>COUNTIF(K7:K47,"I")</f>
        <v/>
      </c>
      <c r="L50" s="15">
        <f>COUNTIF(L7:L47,"I")</f>
        <v/>
      </c>
      <c r="M50" s="15">
        <f>COUNTIF(M7:M47,"I")</f>
        <v/>
      </c>
      <c r="N50" s="15">
        <f>COUNTIF(N7:N47,"I")</f>
        <v/>
      </c>
      <c r="O50" s="15">
        <f>COUNTIF(O7:O47,"I")</f>
        <v/>
      </c>
      <c r="P50" s="15">
        <f>COUNTIF(P7:P47,"I")</f>
        <v/>
      </c>
      <c r="Q50" s="15">
        <f>COUNTIF(Q7:Q47,"I")</f>
        <v/>
      </c>
      <c r="R50" s="15">
        <f>COUNTIF(R7:R47,"I")</f>
        <v/>
      </c>
      <c r="S50" s="15">
        <f>COUNTIF(S7:S47,"I")</f>
        <v/>
      </c>
      <c r="T50" s="15">
        <f>COUNTIF(T7:T47,"I")</f>
        <v/>
      </c>
      <c r="U50" s="15">
        <f>COUNTIF(U7:U47,"I")</f>
        <v/>
      </c>
      <c r="V50" s="15">
        <f>COUNTIF(V7:V47,"I")</f>
        <v/>
      </c>
      <c r="W50" s="15">
        <f>COUNTIF(W7:W47,"I")</f>
        <v/>
      </c>
      <c r="X50" s="15">
        <f>COUNTIF(X7:X47,"I")</f>
        <v/>
      </c>
      <c r="Y50" s="15">
        <f>COUNTIF(Y7:Y47,"I")</f>
        <v/>
      </c>
      <c r="Z50" s="15">
        <f>COUNTIF(Z7:Z47,"I")</f>
        <v/>
      </c>
      <c r="AA50" s="15">
        <f>COUNTIF(AA7:AA47,"I")</f>
        <v/>
      </c>
      <c r="AB50" s="15">
        <f>COUNTIF(AB7:AB47,"I")</f>
        <v/>
      </c>
      <c r="AC50" s="15">
        <f>COUNTIF(AC7:AC47,"I")</f>
        <v/>
      </c>
      <c r="AD50" s="15">
        <f>COUNTIF(AD7:AD47,"I")</f>
        <v/>
      </c>
      <c r="AE50" s="15">
        <f>COUNTIF(AE7:AE47,"I")</f>
        <v/>
      </c>
      <c r="AF50" s="15">
        <f>COUNTIF(AF7:AF47,"I")</f>
        <v/>
      </c>
      <c r="AG50" s="15">
        <f>COUNTIF(AG7:AG47,"I")</f>
        <v/>
      </c>
      <c r="AH50" s="15">
        <f>COUNTIF(AH7:AH47,"I")</f>
        <v/>
      </c>
    </row>
    <row r="51" ht="14.25" customHeight="1" s="35">
      <c r="C51" s="3" t="inlineStr">
        <is>
          <t>A</t>
        </is>
      </c>
      <c r="D51" s="15">
        <f>COUNTIF(D7:D47,"A")</f>
        <v/>
      </c>
      <c r="E51" s="15">
        <f>COUNTIF(E7:E47,"A")</f>
        <v/>
      </c>
      <c r="F51" s="15">
        <f>COUNTIF(F7:F47,"A")</f>
        <v/>
      </c>
      <c r="G51" s="15">
        <f>COUNTIF(G7:G47,"A")</f>
        <v/>
      </c>
      <c r="H51" s="15">
        <f>COUNTIF(H7:H47,"A")</f>
        <v/>
      </c>
      <c r="I51" s="15">
        <f>COUNTIF(I7:I47,"A")</f>
        <v/>
      </c>
      <c r="J51" s="15">
        <f>COUNTIF(J7:J47,"A")</f>
        <v/>
      </c>
      <c r="K51" s="15">
        <f>COUNTIF(K7:K47,"A")</f>
        <v/>
      </c>
      <c r="L51" s="15">
        <f>COUNTIF(L7:L47,"A")</f>
        <v/>
      </c>
      <c r="M51" s="15">
        <f>COUNTIF(M7:M47,"A")</f>
        <v/>
      </c>
      <c r="N51" s="15">
        <f>COUNTIF(N7:N47,"A")</f>
        <v/>
      </c>
      <c r="O51" s="15">
        <f>COUNTIF(O7:O47,"A")</f>
        <v/>
      </c>
      <c r="P51" s="15">
        <f>COUNTIF(P7:P47,"A")</f>
        <v/>
      </c>
      <c r="Q51" s="15">
        <f>COUNTIF(Q7:Q47,"A")</f>
        <v/>
      </c>
      <c r="R51" s="15">
        <f>COUNTIF(R7:R47,"A")</f>
        <v/>
      </c>
      <c r="S51" s="15">
        <f>COUNTIF(S7:S47,"A")</f>
        <v/>
      </c>
      <c r="T51" s="15">
        <f>COUNTIF(T7:T47,"A")</f>
        <v/>
      </c>
      <c r="U51" s="15">
        <f>COUNTIF(U7:U47,"A")</f>
        <v/>
      </c>
      <c r="V51" s="15">
        <f>COUNTIF(V7:V47,"A")</f>
        <v/>
      </c>
      <c r="W51" s="15">
        <f>COUNTIF(W7:W47,"A")</f>
        <v/>
      </c>
      <c r="X51" s="15">
        <f>COUNTIF(X7:X47,"A")</f>
        <v/>
      </c>
      <c r="Y51" s="15">
        <f>COUNTIF(Y7:Y47,"A")</f>
        <v/>
      </c>
      <c r="Z51" s="15">
        <f>COUNTIF(Z7:Z47,"A")</f>
        <v/>
      </c>
      <c r="AA51" s="15">
        <f>COUNTIF(AA7:AA47,"A")</f>
        <v/>
      </c>
      <c r="AB51" s="15">
        <f>COUNTIF(AB7:AB47,"A")</f>
        <v/>
      </c>
      <c r="AC51" s="15">
        <f>COUNTIF(AC7:AC47,"A")</f>
        <v/>
      </c>
      <c r="AD51" s="15">
        <f>COUNTIF(AD7:AD47,"A")</f>
        <v/>
      </c>
      <c r="AE51" s="15">
        <f>COUNTIF(AE7:AE47,"A")</f>
        <v/>
      </c>
      <c r="AF51" s="15">
        <f>COUNTIF(AF7:AF47,"A")</f>
        <v/>
      </c>
      <c r="AG51" s="15">
        <f>COUNTIF(AG7:AG47,"A")</f>
        <v/>
      </c>
      <c r="AH51" s="15">
        <f>COUNTIF(AH7:AH47,"A")</f>
        <v/>
      </c>
    </row>
    <row r="52" ht="14.25" customHeight="1" s="35"/>
    <row r="53" ht="14.25" customHeight="1" s="35"/>
    <row r="54" ht="14.25" customHeight="1" s="35"/>
    <row r="55" ht="14.25" customHeight="1" s="35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5"/>
    <row r="57" ht="14.25" customHeight="1" s="35"/>
    <row r="58" ht="14.25" customHeight="1" s="35"/>
    <row r="59" ht="14.25" customHeight="1" s="35"/>
    <row r="60" ht="14.25" customHeight="1" s="35"/>
    <row r="61" ht="14.25" customHeight="1" s="35"/>
    <row r="62" ht="14.25" customHeight="1" s="35"/>
    <row r="63" ht="14.25" customHeight="1" s="35"/>
    <row r="64" ht="14.25" customHeight="1" s="35"/>
    <row r="65" ht="14.25" customHeight="1" s="35"/>
    <row r="66" ht="14.25" customHeight="1" s="35"/>
    <row r="67" ht="14.25" customHeight="1" s="35"/>
    <row r="68" ht="14.25" customHeight="1" s="35"/>
    <row r="69" ht="14.25" customHeight="1" s="35"/>
    <row r="70" ht="14.25" customHeight="1" s="35"/>
    <row r="71" ht="14.25" customHeight="1" s="35"/>
    <row r="72" ht="14.25" customHeight="1" s="35"/>
    <row r="73" ht="14.25" customHeight="1" s="35"/>
    <row r="74" ht="14.25" customHeight="1" s="35"/>
    <row r="75" ht="14.25" customHeight="1" s="35"/>
    <row r="76" ht="14.25" customHeight="1" s="35"/>
    <row r="77" ht="14.25" customHeight="1" s="35"/>
    <row r="78" ht="14.25" customHeight="1" s="35"/>
    <row r="79" ht="14.25" customHeight="1" s="35"/>
    <row r="80" ht="14.25" customHeight="1" s="35"/>
    <row r="81" ht="14.25" customHeight="1" s="35"/>
    <row r="82" ht="14.25" customHeight="1" s="35"/>
    <row r="83" ht="14.25" customHeight="1" s="35"/>
    <row r="84" ht="14.25" customHeight="1" s="35"/>
    <row r="85" ht="14.25" customHeight="1" s="35"/>
    <row r="86" ht="14.25" customHeight="1" s="35"/>
    <row r="87" ht="14.25" customHeight="1" s="35"/>
    <row r="88" ht="14.25" customHeight="1" s="35"/>
    <row r="89" ht="14.25" customHeight="1" s="35"/>
    <row r="90" ht="14.25" customHeight="1" s="35"/>
    <row r="91" ht="14.25" customHeight="1" s="35"/>
    <row r="92" ht="14.25" customHeight="1" s="35"/>
    <row r="93" ht="14.25" customHeight="1" s="35"/>
    <row r="94" ht="14.25" customHeight="1" s="35"/>
    <row r="95" ht="14.25" customHeight="1" s="35"/>
    <row r="96" ht="14.25" customHeight="1" s="35"/>
    <row r="97" ht="14.25" customHeight="1" s="35"/>
    <row r="98" ht="14.25" customHeight="1" s="35"/>
    <row r="99" ht="14.25" customHeight="1" s="35"/>
    <row r="100" ht="14.25" customHeight="1" s="35"/>
    <row r="101" ht="14.25" customHeight="1" s="35"/>
    <row r="102" ht="14.25" customHeight="1" s="35"/>
    <row r="103" ht="14.25" customHeight="1" s="35"/>
    <row r="104" ht="14.25" customHeight="1" s="35"/>
    <row r="105" ht="14.25" customHeight="1" s="35"/>
    <row r="106" ht="14.25" customHeight="1" s="35"/>
    <row r="107" ht="14.25" customHeight="1" s="35"/>
    <row r="108" ht="14.25" customHeight="1" s="35"/>
    <row r="109" ht="14.25" customHeight="1" s="35"/>
    <row r="110" ht="14.25" customHeight="1" s="35"/>
    <row r="111" ht="14.25" customHeight="1" s="35"/>
    <row r="112" ht="14.25" customHeight="1" s="35"/>
    <row r="113" ht="14.25" customHeight="1" s="35"/>
    <row r="114" ht="14.25" customHeight="1" s="35"/>
    <row r="115" ht="14.25" customHeight="1" s="35"/>
    <row r="116" ht="14.25" customHeight="1" s="35"/>
    <row r="117" ht="14.25" customHeight="1" s="35"/>
    <row r="118" ht="14.25" customHeight="1" s="35"/>
    <row r="119" ht="14.25" customHeight="1" s="35"/>
    <row r="120" ht="14.25" customHeight="1" s="35"/>
    <row r="121" ht="14.25" customHeight="1" s="35"/>
    <row r="122" ht="14.25" customHeight="1" s="35"/>
    <row r="123" ht="14.25" customHeight="1" s="35"/>
    <row r="124" ht="14.25" customHeight="1" s="35"/>
    <row r="125" ht="14.25" customHeight="1" s="35"/>
    <row r="126" ht="14.25" customHeight="1" s="35"/>
    <row r="127" ht="14.25" customHeight="1" s="35"/>
    <row r="128" ht="14.25" customHeight="1" s="35"/>
    <row r="129" ht="14.25" customHeight="1" s="35"/>
    <row r="130" ht="14.25" customHeight="1" s="35"/>
    <row r="131" ht="14.25" customHeight="1" s="35"/>
    <row r="132" ht="14.25" customHeight="1" s="35"/>
    <row r="133" ht="14.25" customHeight="1" s="35"/>
    <row r="134" ht="14.25" customHeight="1" s="35"/>
    <row r="135" ht="14.25" customHeight="1" s="35"/>
    <row r="136" ht="14.25" customHeight="1" s="35"/>
    <row r="137" ht="14.25" customHeight="1" s="35"/>
    <row r="138" ht="14.25" customHeight="1" s="35"/>
    <row r="139" ht="14.25" customHeight="1" s="35"/>
    <row r="140" ht="14.25" customHeight="1" s="35"/>
    <row r="141" ht="14.25" customHeight="1" s="35"/>
    <row r="142" ht="14.25" customHeight="1" s="35"/>
    <row r="143" ht="14.25" customHeight="1" s="35"/>
    <row r="144" ht="14.25" customHeight="1" s="35"/>
    <row r="145" ht="14.25" customHeight="1" s="35"/>
    <row r="146" ht="14.25" customHeight="1" s="35"/>
    <row r="147" ht="14.25" customHeight="1" s="35"/>
    <row r="148" ht="14.25" customHeight="1" s="35"/>
    <row r="149" ht="14.25" customHeight="1" s="35"/>
    <row r="150" ht="14.25" customHeight="1" s="35"/>
    <row r="151" ht="14.25" customHeight="1" s="35"/>
    <row r="152" ht="14.25" customHeight="1" s="35"/>
    <row r="153" ht="14.25" customHeight="1" s="35"/>
    <row r="154" ht="14.25" customHeight="1" s="35"/>
    <row r="155" ht="14.25" customHeight="1" s="35"/>
    <row r="156" ht="14.25" customHeight="1" s="35"/>
    <row r="157" ht="14.25" customHeight="1" s="35"/>
    <row r="158" ht="14.25" customHeight="1" s="35"/>
    <row r="159" ht="14.25" customHeight="1" s="35"/>
    <row r="160" ht="14.25" customHeight="1" s="35"/>
    <row r="161" ht="14.25" customHeight="1" s="35"/>
    <row r="162" ht="14.25" customHeight="1" s="35"/>
    <row r="163" ht="14.25" customHeight="1" s="35"/>
    <row r="164" ht="14.25" customHeight="1" s="35"/>
    <row r="165" ht="14.25" customHeight="1" s="35"/>
    <row r="166" ht="14.25" customHeight="1" s="35"/>
    <row r="167" ht="14.25" customHeight="1" s="35"/>
    <row r="168" ht="14.25" customHeight="1" s="35"/>
    <row r="169" ht="14.25" customHeight="1" s="35"/>
    <row r="170" ht="14.25" customHeight="1" s="35"/>
    <row r="171" ht="14.25" customHeight="1" s="35"/>
    <row r="172" ht="14.25" customHeight="1" s="35"/>
    <row r="173" ht="14.25" customHeight="1" s="35"/>
    <row r="174" ht="14.25" customHeight="1" s="35"/>
    <row r="175" ht="14.25" customHeight="1" s="35"/>
    <row r="176" ht="14.25" customHeight="1" s="35"/>
    <row r="177" ht="14.25" customHeight="1" s="35"/>
    <row r="178" ht="14.25" customHeight="1" s="35"/>
    <row r="179" ht="14.25" customHeight="1" s="35"/>
    <row r="180" ht="14.25" customHeight="1" s="35"/>
    <row r="181" ht="14.25" customHeight="1" s="35"/>
    <row r="182" ht="14.25" customHeight="1" s="35"/>
    <row r="183" ht="14.25" customHeight="1" s="35"/>
    <row r="184" ht="14.25" customHeight="1" s="35"/>
    <row r="185" ht="14.25" customHeight="1" s="35"/>
    <row r="186" ht="14.25" customHeight="1" s="35"/>
    <row r="187" ht="14.25" customHeight="1" s="35"/>
    <row r="188" ht="14.25" customHeight="1" s="35"/>
    <row r="189" ht="14.25" customHeight="1" s="35"/>
    <row r="190" ht="14.25" customHeight="1" s="35"/>
    <row r="191" ht="14.25" customHeight="1" s="35"/>
    <row r="192" ht="14.25" customHeight="1" s="35"/>
    <row r="193" ht="14.25" customHeight="1" s="35"/>
    <row r="194" ht="14.25" customHeight="1" s="35"/>
    <row r="195" ht="14.25" customHeight="1" s="35"/>
    <row r="196" ht="14.25" customHeight="1" s="35"/>
    <row r="197" ht="14.25" customHeight="1" s="35"/>
    <row r="198" ht="14.25" customHeight="1" s="35"/>
    <row r="199" ht="14.25" customHeight="1" s="35"/>
    <row r="200" ht="14.25" customHeight="1" s="35"/>
    <row r="201" ht="14.25" customHeight="1" s="35"/>
    <row r="202" ht="14.25" customHeight="1" s="35"/>
    <row r="203" ht="14.25" customHeight="1" s="35"/>
    <row r="204" ht="14.25" customHeight="1" s="35"/>
    <row r="205" ht="14.25" customHeight="1" s="35"/>
    <row r="206" ht="14.25" customHeight="1" s="35"/>
    <row r="207" ht="14.25" customHeight="1" s="35"/>
    <row r="208" ht="14.25" customHeight="1" s="35"/>
    <row r="209" ht="14.25" customHeight="1" s="35"/>
    <row r="210" ht="14.25" customHeight="1" s="35"/>
    <row r="211" ht="14.25" customHeight="1" s="35"/>
    <row r="212" ht="14.25" customHeight="1" s="35"/>
    <row r="213" ht="14.25" customHeight="1" s="35"/>
    <row r="214" ht="14.25" customHeight="1" s="35"/>
    <row r="215" ht="14.25" customHeight="1" s="35"/>
    <row r="216" ht="14.25" customHeight="1" s="35"/>
    <row r="217" ht="14.25" customHeight="1" s="35"/>
    <row r="218" ht="14.25" customHeight="1" s="35"/>
    <row r="219" ht="14.25" customHeight="1" s="35"/>
    <row r="220" ht="14.25" customHeight="1" s="35"/>
    <row r="221" ht="14.25" customHeight="1" s="35"/>
    <row r="222" ht="14.25" customHeight="1" s="35"/>
    <row r="223" ht="14.25" customHeight="1" s="35"/>
    <row r="224" ht="14.25" customHeight="1" s="35"/>
    <row r="225" ht="14.25" customHeight="1" s="35"/>
    <row r="226" ht="14.25" customHeight="1" s="35"/>
    <row r="227" ht="14.25" customHeight="1" s="35"/>
    <row r="228" ht="14.25" customHeight="1" s="35"/>
    <row r="229" ht="14.25" customHeight="1" s="35"/>
    <row r="230" ht="14.25" customHeight="1" s="35"/>
    <row r="231" ht="14.25" customHeight="1" s="35"/>
    <row r="232" ht="14.25" customHeight="1" s="35"/>
    <row r="233" ht="14.25" customHeight="1" s="35"/>
    <row r="234" ht="14.25" customHeight="1" s="35"/>
    <row r="235" ht="14.25" customHeight="1" s="35"/>
    <row r="236" ht="14.25" customHeight="1" s="35"/>
    <row r="237" ht="14.25" customHeight="1" s="35"/>
    <row r="238" ht="14.25" customHeight="1" s="35"/>
    <row r="239" ht="14.25" customHeight="1" s="35"/>
    <row r="240" ht="14.25" customHeight="1" s="35"/>
    <row r="241" ht="14.25" customHeight="1" s="35"/>
    <row r="242" ht="14.25" customHeight="1" s="35"/>
    <row r="243" ht="14.25" customHeight="1" s="35"/>
    <row r="244" ht="14.25" customHeight="1" s="35"/>
    <row r="245" ht="14.25" customHeight="1" s="35"/>
    <row r="246" ht="14.25" customHeight="1" s="35"/>
    <row r="247" ht="14.25" customHeight="1" s="35"/>
    <row r="248" ht="14.25" customHeight="1" s="35"/>
    <row r="249" ht="14.25" customHeight="1" s="35"/>
    <row r="250" ht="14.25" customHeight="1" s="35"/>
    <row r="251" ht="14.25" customHeight="1" s="35"/>
    <row r="252" ht="14.25" customHeight="1" s="35"/>
    <row r="253" ht="14.25" customHeight="1" s="35"/>
    <row r="254" ht="14.25" customHeight="1" s="35"/>
    <row r="255" ht="14.25" customHeight="1" s="35"/>
    <row r="256" ht="14.25" customHeight="1" s="35"/>
    <row r="257" ht="14.25" customHeight="1" s="35"/>
    <row r="258" ht="14.25" customHeight="1" s="35"/>
    <row r="259" ht="14.25" customHeight="1" s="35"/>
    <row r="260" ht="14.25" customHeight="1" s="35"/>
    <row r="261" ht="14.25" customHeight="1" s="35"/>
    <row r="262" ht="14.25" customHeight="1" s="35"/>
    <row r="263" ht="14.25" customHeight="1" s="35"/>
    <row r="264" ht="14.25" customHeight="1" s="35"/>
    <row r="265" ht="14.25" customHeight="1" s="35"/>
    <row r="266" ht="14.25" customHeight="1" s="35"/>
    <row r="267" ht="14.25" customHeight="1" s="35"/>
    <row r="268" ht="14.25" customHeight="1" s="35"/>
    <row r="269" ht="14.25" customHeight="1" s="35"/>
    <row r="270" ht="14.25" customHeight="1" s="35"/>
    <row r="271" ht="14.25" customHeight="1" s="35"/>
    <row r="272" ht="14.25" customHeight="1" s="35"/>
    <row r="273" ht="14.25" customHeight="1" s="35"/>
    <row r="274" ht="14.25" customHeight="1" s="35"/>
    <row r="275" ht="14.25" customHeight="1" s="35"/>
    <row r="276" ht="14.25" customHeight="1" s="35"/>
    <row r="277" ht="14.25" customHeight="1" s="35"/>
    <row r="278" ht="14.25" customHeight="1" s="35"/>
    <row r="279" ht="14.25" customHeight="1" s="35"/>
    <row r="280" ht="14.25" customHeight="1" s="35"/>
    <row r="281" ht="14.25" customHeight="1" s="35"/>
    <row r="282" ht="14.25" customHeight="1" s="35"/>
    <row r="283" ht="14.25" customHeight="1" s="35"/>
    <row r="284" ht="14.25" customHeight="1" s="35"/>
    <row r="285" ht="14.25" customHeight="1" s="35"/>
    <row r="286" ht="14.25" customHeight="1" s="35"/>
    <row r="287" ht="14.25" customHeight="1" s="35"/>
    <row r="288" ht="14.25" customHeight="1" s="35"/>
    <row r="289" ht="14.25" customHeight="1" s="35"/>
    <row r="290" ht="14.25" customHeight="1" s="35"/>
    <row r="291" ht="14.25" customHeight="1" s="35"/>
    <row r="292" ht="14.25" customHeight="1" s="35"/>
    <row r="293" ht="14.25" customHeight="1" s="35"/>
    <row r="294" ht="14.25" customHeight="1" s="35"/>
    <row r="295" ht="14.25" customHeight="1" s="35"/>
    <row r="296" ht="14.25" customHeight="1" s="35"/>
    <row r="297" ht="14.25" customHeight="1" s="35"/>
    <row r="298" ht="14.25" customHeight="1" s="35"/>
    <row r="299" ht="14.25" customHeight="1" s="35"/>
    <row r="300" ht="14.25" customHeight="1" s="35"/>
    <row r="301" ht="14.25" customHeight="1" s="35"/>
    <row r="302" ht="14.25" customHeight="1" s="35"/>
    <row r="303" ht="14.25" customHeight="1" s="35"/>
    <row r="304" ht="14.25" customHeight="1" s="35"/>
    <row r="305" ht="14.25" customHeight="1" s="35"/>
    <row r="306" ht="14.25" customHeight="1" s="35"/>
    <row r="307" ht="14.25" customHeight="1" s="35"/>
    <row r="308" ht="14.25" customHeight="1" s="35"/>
    <row r="309" ht="14.25" customHeight="1" s="35"/>
    <row r="310" ht="14.25" customHeight="1" s="35"/>
    <row r="311" ht="14.25" customHeight="1" s="35"/>
    <row r="312" ht="14.25" customHeight="1" s="35"/>
    <row r="313" ht="14.25" customHeight="1" s="35"/>
    <row r="314" ht="14.25" customHeight="1" s="35"/>
    <row r="315" ht="14.25" customHeight="1" s="35"/>
    <row r="316" ht="14.25" customHeight="1" s="35"/>
    <row r="317" ht="14.25" customHeight="1" s="35"/>
    <row r="318" ht="14.25" customHeight="1" s="35"/>
    <row r="319" ht="14.25" customHeight="1" s="35"/>
    <row r="320" ht="14.25" customHeight="1" s="35"/>
    <row r="321" ht="14.25" customHeight="1" s="35"/>
    <row r="322" ht="14.25" customHeight="1" s="35"/>
    <row r="323" ht="14.25" customHeight="1" s="35"/>
    <row r="324" ht="14.25" customHeight="1" s="35"/>
    <row r="325" ht="14.25" customHeight="1" s="35"/>
    <row r="326" ht="14.25" customHeight="1" s="35"/>
    <row r="327" ht="14.25" customHeight="1" s="35"/>
    <row r="328" ht="14.25" customHeight="1" s="35"/>
    <row r="329" ht="14.25" customHeight="1" s="35"/>
    <row r="330" ht="14.25" customHeight="1" s="35"/>
    <row r="331" ht="14.25" customHeight="1" s="35"/>
    <row r="332" ht="14.25" customHeight="1" s="35"/>
    <row r="333" ht="14.25" customHeight="1" s="35"/>
    <row r="334" ht="14.25" customHeight="1" s="35"/>
    <row r="335" ht="14.25" customHeight="1" s="35"/>
    <row r="336" ht="14.25" customHeight="1" s="35"/>
    <row r="337" ht="14.25" customHeight="1" s="35"/>
    <row r="338" ht="14.25" customHeight="1" s="35"/>
    <row r="339" ht="14.25" customHeight="1" s="35"/>
    <row r="340" ht="14.25" customHeight="1" s="35"/>
    <row r="341" ht="14.25" customHeight="1" s="35"/>
    <row r="342" ht="14.25" customHeight="1" s="35"/>
    <row r="343" ht="14.25" customHeight="1" s="35"/>
    <row r="344" ht="14.25" customHeight="1" s="35"/>
    <row r="345" ht="14.25" customHeight="1" s="35"/>
    <row r="346" ht="14.25" customHeight="1" s="35"/>
    <row r="347" ht="14.25" customHeight="1" s="35"/>
    <row r="348" ht="14.25" customHeight="1" s="35"/>
    <row r="349" ht="14.25" customHeight="1" s="35"/>
    <row r="350" ht="14.25" customHeight="1" s="35"/>
    <row r="351" ht="14.25" customHeight="1" s="35"/>
    <row r="352" ht="14.25" customHeight="1" s="35"/>
    <row r="353" ht="14.25" customHeight="1" s="35"/>
    <row r="354" ht="14.25" customHeight="1" s="35"/>
    <row r="355" ht="14.25" customHeight="1" s="35"/>
    <row r="356" ht="14.25" customHeight="1" s="35"/>
    <row r="357" ht="14.25" customHeight="1" s="35"/>
    <row r="358" ht="14.25" customHeight="1" s="35"/>
    <row r="359" ht="14.25" customHeight="1" s="35"/>
    <row r="360" ht="14.25" customHeight="1" s="35"/>
    <row r="361" ht="14.25" customHeight="1" s="35"/>
    <row r="362" ht="14.25" customHeight="1" s="35"/>
    <row r="363" ht="14.25" customHeight="1" s="35"/>
    <row r="364" ht="14.25" customHeight="1" s="35"/>
    <row r="365" ht="14.25" customHeight="1" s="35"/>
    <row r="366" ht="14.25" customHeight="1" s="35"/>
    <row r="367" ht="14.25" customHeight="1" s="35"/>
    <row r="368" ht="14.25" customHeight="1" s="35"/>
    <row r="369" ht="14.25" customHeight="1" s="35"/>
    <row r="370" ht="14.25" customHeight="1" s="35"/>
    <row r="371" ht="14.25" customHeight="1" s="35"/>
    <row r="372" ht="14.25" customHeight="1" s="35"/>
    <row r="373" ht="14.25" customHeight="1" s="35"/>
    <row r="374" ht="14.25" customHeight="1" s="35"/>
    <row r="375" ht="14.25" customHeight="1" s="35"/>
    <row r="376" ht="14.25" customHeight="1" s="35"/>
    <row r="377" ht="14.25" customHeight="1" s="35"/>
    <row r="378" ht="14.25" customHeight="1" s="35"/>
    <row r="379" ht="14.25" customHeight="1" s="35"/>
    <row r="380" ht="14.25" customHeight="1" s="35"/>
    <row r="381" ht="14.25" customHeight="1" s="35"/>
    <row r="382" ht="14.25" customHeight="1" s="35"/>
    <row r="383" ht="14.25" customHeight="1" s="35"/>
    <row r="384" ht="14.25" customHeight="1" s="35"/>
    <row r="385" ht="14.25" customHeight="1" s="35"/>
    <row r="386" ht="14.25" customHeight="1" s="35"/>
    <row r="387" ht="14.25" customHeight="1" s="35"/>
    <row r="388" ht="14.25" customHeight="1" s="35"/>
    <row r="389" ht="14.25" customHeight="1" s="35"/>
    <row r="390" ht="14.25" customHeight="1" s="35"/>
    <row r="391" ht="14.25" customHeight="1" s="35"/>
    <row r="392" ht="14.25" customHeight="1" s="35"/>
    <row r="393" ht="14.25" customHeight="1" s="35"/>
    <row r="394" ht="14.25" customHeight="1" s="35"/>
    <row r="395" ht="14.25" customHeight="1" s="35"/>
    <row r="396" ht="14.25" customHeight="1" s="35"/>
    <row r="397" ht="14.25" customHeight="1" s="35"/>
    <row r="398" ht="14.25" customHeight="1" s="35"/>
    <row r="399" ht="14.25" customHeight="1" s="35"/>
    <row r="400" ht="14.25" customHeight="1" s="35"/>
    <row r="401" ht="14.25" customHeight="1" s="35"/>
    <row r="402" ht="14.25" customHeight="1" s="35"/>
    <row r="403" ht="14.25" customHeight="1" s="35"/>
    <row r="404" ht="14.25" customHeight="1" s="35"/>
    <row r="405" ht="14.25" customHeight="1" s="35"/>
    <row r="406" ht="14.25" customHeight="1" s="35"/>
    <row r="407" ht="14.25" customHeight="1" s="35"/>
    <row r="408" ht="14.25" customHeight="1" s="35"/>
    <row r="409" ht="14.25" customHeight="1" s="35"/>
    <row r="410" ht="14.25" customHeight="1" s="35"/>
    <row r="411" ht="14.25" customHeight="1" s="35"/>
    <row r="412" ht="14.25" customHeight="1" s="35"/>
    <row r="413" ht="14.25" customHeight="1" s="35"/>
    <row r="414" ht="14.25" customHeight="1" s="35"/>
    <row r="415" ht="14.25" customHeight="1" s="35"/>
    <row r="416" ht="14.25" customHeight="1" s="35"/>
    <row r="417" ht="14.25" customHeight="1" s="35"/>
    <row r="418" ht="14.25" customHeight="1" s="35"/>
    <row r="419" ht="14.25" customHeight="1" s="35"/>
    <row r="420" ht="14.25" customHeight="1" s="35"/>
    <row r="421" ht="14.25" customHeight="1" s="35"/>
    <row r="422" ht="14.25" customHeight="1" s="35"/>
    <row r="423" ht="14.25" customHeight="1" s="35"/>
    <row r="424" ht="14.25" customHeight="1" s="35"/>
    <row r="425" ht="14.25" customHeight="1" s="35"/>
    <row r="426" ht="14.25" customHeight="1" s="35"/>
    <row r="427" ht="14.25" customHeight="1" s="35"/>
    <row r="428" ht="14.25" customHeight="1" s="35"/>
    <row r="429" ht="14.25" customHeight="1" s="35"/>
    <row r="430" ht="14.25" customHeight="1" s="35"/>
    <row r="431" ht="14.25" customHeight="1" s="35"/>
    <row r="432" ht="14.25" customHeight="1" s="35"/>
    <row r="433" ht="14.25" customHeight="1" s="35"/>
    <row r="434" ht="14.25" customHeight="1" s="35"/>
    <row r="435" ht="14.25" customHeight="1" s="35"/>
    <row r="436" ht="14.25" customHeight="1" s="35"/>
    <row r="437" ht="14.25" customHeight="1" s="35"/>
    <row r="438" ht="14.25" customHeight="1" s="35"/>
    <row r="439" ht="14.25" customHeight="1" s="35"/>
    <row r="440" ht="14.25" customHeight="1" s="35"/>
    <row r="441" ht="14.25" customHeight="1" s="35"/>
    <row r="442" ht="14.25" customHeight="1" s="35"/>
    <row r="443" ht="14.25" customHeight="1" s="35"/>
    <row r="444" ht="14.25" customHeight="1" s="35"/>
    <row r="445" ht="14.25" customHeight="1" s="35"/>
    <row r="446" ht="14.25" customHeight="1" s="35"/>
    <row r="447" ht="14.25" customHeight="1" s="35"/>
    <row r="448" ht="14.25" customHeight="1" s="35"/>
    <row r="449" ht="14.25" customHeight="1" s="35"/>
    <row r="450" ht="14.25" customHeight="1" s="35"/>
    <row r="451" ht="14.25" customHeight="1" s="35"/>
    <row r="452" ht="14.25" customHeight="1" s="35"/>
    <row r="453" ht="14.25" customHeight="1" s="35"/>
    <row r="454" ht="14.25" customHeight="1" s="35"/>
    <row r="455" ht="14.25" customHeight="1" s="35"/>
    <row r="456" ht="14.25" customHeight="1" s="35"/>
    <row r="457" ht="14.25" customHeight="1" s="35"/>
    <row r="458" ht="14.25" customHeight="1" s="35"/>
    <row r="459" ht="14.25" customHeight="1" s="35"/>
    <row r="460" ht="14.25" customHeight="1" s="35"/>
    <row r="461" ht="14.25" customHeight="1" s="35"/>
    <row r="462" ht="14.25" customHeight="1" s="35"/>
    <row r="463" ht="14.25" customHeight="1" s="35"/>
    <row r="464" ht="14.25" customHeight="1" s="35"/>
    <row r="465" ht="14.25" customHeight="1" s="35"/>
    <row r="466" ht="14.25" customHeight="1" s="35"/>
    <row r="467" ht="14.25" customHeight="1" s="35"/>
    <row r="468" ht="14.25" customHeight="1" s="35"/>
    <row r="469" ht="14.25" customHeight="1" s="35"/>
    <row r="470" ht="14.25" customHeight="1" s="35"/>
    <row r="471" ht="14.25" customHeight="1" s="35"/>
    <row r="472" ht="14.25" customHeight="1" s="35"/>
    <row r="473" ht="14.25" customHeight="1" s="35"/>
    <row r="474" ht="14.25" customHeight="1" s="35"/>
    <row r="475" ht="14.25" customHeight="1" s="35"/>
    <row r="476" ht="14.25" customHeight="1" s="35"/>
    <row r="477" ht="14.25" customHeight="1" s="35"/>
    <row r="478" ht="14.25" customHeight="1" s="35"/>
    <row r="479" ht="14.25" customHeight="1" s="35"/>
    <row r="480" ht="14.25" customHeight="1" s="35"/>
    <row r="481" ht="14.25" customHeight="1" s="35"/>
    <row r="482" ht="14.25" customHeight="1" s="35"/>
    <row r="483" ht="14.25" customHeight="1" s="35"/>
    <row r="484" ht="14.25" customHeight="1" s="35"/>
    <row r="485" ht="14.25" customHeight="1" s="35"/>
    <row r="486" ht="14.25" customHeight="1" s="35"/>
    <row r="487" ht="14.25" customHeight="1" s="35"/>
    <row r="488" ht="14.25" customHeight="1" s="35"/>
    <row r="489" ht="14.25" customHeight="1" s="35"/>
    <row r="490" ht="14.25" customHeight="1" s="35"/>
    <row r="491" ht="14.25" customHeight="1" s="35"/>
    <row r="492" ht="14.25" customHeight="1" s="35"/>
    <row r="493" ht="14.25" customHeight="1" s="35"/>
    <row r="494" ht="14.25" customHeight="1" s="35"/>
    <row r="495" ht="14.25" customHeight="1" s="35"/>
    <row r="496" ht="14.25" customHeight="1" s="35"/>
    <row r="497" ht="14.25" customHeight="1" s="35"/>
    <row r="498" ht="14.25" customHeight="1" s="35"/>
    <row r="499" ht="14.25" customHeight="1" s="35"/>
    <row r="500" ht="14.25" customHeight="1" s="35"/>
    <row r="501" ht="14.25" customHeight="1" s="35"/>
    <row r="502" ht="14.25" customHeight="1" s="35"/>
    <row r="503" ht="14.25" customHeight="1" s="35"/>
    <row r="504" ht="14.25" customHeight="1" s="35"/>
    <row r="505" ht="14.25" customHeight="1" s="35"/>
    <row r="506" ht="14.25" customHeight="1" s="35"/>
    <row r="507" ht="14.25" customHeight="1" s="35"/>
    <row r="508" ht="14.25" customHeight="1" s="35"/>
    <row r="509" ht="14.25" customHeight="1" s="35"/>
    <row r="510" ht="14.25" customHeight="1" s="35"/>
    <row r="511" ht="14.25" customHeight="1" s="35"/>
    <row r="512" ht="14.25" customHeight="1" s="35"/>
    <row r="513" ht="14.25" customHeight="1" s="35"/>
    <row r="514" ht="14.25" customHeight="1" s="35"/>
    <row r="515" ht="14.25" customHeight="1" s="35"/>
    <row r="516" ht="14.25" customHeight="1" s="35"/>
    <row r="517" ht="14.25" customHeight="1" s="35"/>
    <row r="518" ht="14.25" customHeight="1" s="35"/>
    <row r="519" ht="14.25" customHeight="1" s="35"/>
    <row r="520" ht="14.25" customHeight="1" s="35"/>
    <row r="521" ht="14.25" customHeight="1" s="35"/>
    <row r="522" ht="14.25" customHeight="1" s="35"/>
    <row r="523" ht="14.25" customHeight="1" s="35"/>
    <row r="524" ht="14.25" customHeight="1" s="35"/>
    <row r="525" ht="14.25" customHeight="1" s="35"/>
    <row r="526" ht="14.25" customHeight="1" s="35"/>
    <row r="527" ht="14.25" customHeight="1" s="35"/>
    <row r="528" ht="14.25" customHeight="1" s="35"/>
    <row r="529" ht="14.25" customHeight="1" s="35"/>
    <row r="530" ht="14.25" customHeight="1" s="35"/>
    <row r="531" ht="14.25" customHeight="1" s="35"/>
    <row r="532" ht="14.25" customHeight="1" s="35"/>
    <row r="533" ht="14.25" customHeight="1" s="35"/>
    <row r="534" ht="14.25" customHeight="1" s="35"/>
    <row r="535" ht="14.25" customHeight="1" s="35"/>
    <row r="536" ht="14.25" customHeight="1" s="35"/>
    <row r="537" ht="14.25" customHeight="1" s="35"/>
    <row r="538" ht="14.25" customHeight="1" s="35"/>
    <row r="539" ht="14.25" customHeight="1" s="35"/>
    <row r="540" ht="14.25" customHeight="1" s="35"/>
    <row r="541" ht="14.25" customHeight="1" s="35"/>
    <row r="542" ht="14.25" customHeight="1" s="35"/>
    <row r="543" ht="14.25" customHeight="1" s="35"/>
    <row r="544" ht="14.25" customHeight="1" s="35"/>
    <row r="545" ht="14.25" customHeight="1" s="35"/>
    <row r="546" ht="14.25" customHeight="1" s="35"/>
    <row r="547" ht="14.25" customHeight="1" s="35"/>
    <row r="548" ht="14.25" customHeight="1" s="35"/>
    <row r="549" ht="14.25" customHeight="1" s="35"/>
    <row r="550" ht="14.25" customHeight="1" s="35"/>
    <row r="551" ht="14.25" customHeight="1" s="35"/>
    <row r="552" ht="14.25" customHeight="1" s="35"/>
    <row r="553" ht="14.25" customHeight="1" s="35"/>
    <row r="554" ht="14.25" customHeight="1" s="35"/>
    <row r="555" ht="14.25" customHeight="1" s="35"/>
    <row r="556" ht="14.25" customHeight="1" s="35"/>
    <row r="557" ht="14.25" customHeight="1" s="35"/>
    <row r="558" ht="14.25" customHeight="1" s="35"/>
    <row r="559" ht="14.25" customHeight="1" s="35"/>
    <row r="560" ht="14.25" customHeight="1" s="35"/>
    <row r="561" ht="14.25" customHeight="1" s="35"/>
    <row r="562" ht="14.25" customHeight="1" s="35"/>
    <row r="563" ht="14.25" customHeight="1" s="35"/>
    <row r="564" ht="14.25" customHeight="1" s="35"/>
    <row r="565" ht="14.25" customHeight="1" s="35"/>
    <row r="566" ht="14.25" customHeight="1" s="35"/>
    <row r="567" ht="14.25" customHeight="1" s="35"/>
    <row r="568" ht="14.25" customHeight="1" s="35"/>
    <row r="569" ht="14.25" customHeight="1" s="35"/>
    <row r="570" ht="14.25" customHeight="1" s="35"/>
    <row r="571" ht="14.25" customHeight="1" s="35"/>
    <row r="572" ht="14.25" customHeight="1" s="35"/>
    <row r="573" ht="14.25" customHeight="1" s="35"/>
    <row r="574" ht="14.25" customHeight="1" s="35"/>
    <row r="575" ht="14.25" customHeight="1" s="35"/>
    <row r="576" ht="14.25" customHeight="1" s="35"/>
    <row r="577" ht="14.25" customHeight="1" s="35"/>
    <row r="578" ht="14.25" customHeight="1" s="35"/>
    <row r="579" ht="14.25" customHeight="1" s="35"/>
    <row r="580" ht="14.25" customHeight="1" s="35"/>
    <row r="581" ht="14.25" customHeight="1" s="35"/>
    <row r="582" ht="14.25" customHeight="1" s="35"/>
    <row r="583" ht="14.25" customHeight="1" s="35"/>
    <row r="584" ht="14.25" customHeight="1" s="35"/>
    <row r="585" ht="14.25" customHeight="1" s="35"/>
    <row r="586" ht="14.25" customHeight="1" s="35"/>
    <row r="587" ht="14.25" customHeight="1" s="35"/>
    <row r="588" ht="14.25" customHeight="1" s="35"/>
    <row r="589" ht="14.25" customHeight="1" s="35"/>
    <row r="590" ht="14.25" customHeight="1" s="35"/>
    <row r="591" ht="14.25" customHeight="1" s="35"/>
    <row r="592" ht="14.25" customHeight="1" s="35"/>
    <row r="593" ht="14.25" customHeight="1" s="35"/>
    <row r="594" ht="14.25" customHeight="1" s="35"/>
    <row r="595" ht="14.25" customHeight="1" s="35"/>
    <row r="596" ht="14.25" customHeight="1" s="35"/>
    <row r="597" ht="14.25" customHeight="1" s="35"/>
    <row r="598" ht="14.25" customHeight="1" s="35"/>
    <row r="599" ht="14.25" customHeight="1" s="35"/>
    <row r="600" ht="14.25" customHeight="1" s="35"/>
    <row r="601" ht="14.25" customHeight="1" s="35"/>
    <row r="602" ht="14.25" customHeight="1" s="35"/>
    <row r="603" ht="14.25" customHeight="1" s="35"/>
    <row r="604" ht="14.25" customHeight="1" s="35"/>
    <row r="605" ht="14.25" customHeight="1" s="35"/>
    <row r="606" ht="14.25" customHeight="1" s="35"/>
    <row r="607" ht="14.25" customHeight="1" s="35"/>
    <row r="608" ht="14.25" customHeight="1" s="35"/>
    <row r="609" ht="14.25" customHeight="1" s="35"/>
    <row r="610" ht="14.25" customHeight="1" s="35"/>
    <row r="611" ht="14.25" customHeight="1" s="35"/>
    <row r="612" ht="14.25" customHeight="1" s="35"/>
    <row r="613" ht="14.25" customHeight="1" s="35"/>
    <row r="614" ht="14.25" customHeight="1" s="35"/>
    <row r="615" ht="14.25" customHeight="1" s="35"/>
    <row r="616" ht="14.25" customHeight="1" s="35"/>
    <row r="617" ht="14.25" customHeight="1" s="35"/>
    <row r="618" ht="14.25" customHeight="1" s="35"/>
    <row r="619" ht="14.25" customHeight="1" s="35"/>
    <row r="620" ht="14.25" customHeight="1" s="35"/>
    <row r="621" ht="14.25" customHeight="1" s="35"/>
    <row r="622" ht="14.25" customHeight="1" s="35"/>
    <row r="623" ht="14.25" customHeight="1" s="35"/>
    <row r="624" ht="14.25" customHeight="1" s="35"/>
    <row r="625" ht="14.25" customHeight="1" s="35"/>
    <row r="626" ht="14.25" customHeight="1" s="35"/>
    <row r="627" ht="14.25" customHeight="1" s="35"/>
    <row r="628" ht="14.25" customHeight="1" s="35"/>
    <row r="629" ht="14.25" customHeight="1" s="35"/>
    <row r="630" ht="14.25" customHeight="1" s="35"/>
    <row r="631" ht="14.25" customHeight="1" s="35"/>
    <row r="632" ht="14.25" customHeight="1" s="35"/>
    <row r="633" ht="14.25" customHeight="1" s="35"/>
    <row r="634" ht="14.25" customHeight="1" s="35"/>
    <row r="635" ht="14.25" customHeight="1" s="35"/>
    <row r="636" ht="14.25" customHeight="1" s="35"/>
    <row r="637" ht="14.25" customHeight="1" s="35"/>
    <row r="638" ht="14.25" customHeight="1" s="35"/>
    <row r="639" ht="14.25" customHeight="1" s="35"/>
    <row r="640" ht="14.25" customHeight="1" s="35"/>
    <row r="641" ht="14.25" customHeight="1" s="35"/>
    <row r="642" ht="14.25" customHeight="1" s="35"/>
    <row r="643" ht="14.25" customHeight="1" s="35"/>
    <row r="644" ht="14.25" customHeight="1" s="35"/>
    <row r="645" ht="14.25" customHeight="1" s="35"/>
    <row r="646" ht="14.25" customHeight="1" s="35"/>
    <row r="647" ht="14.25" customHeight="1" s="35"/>
    <row r="648" ht="14.25" customHeight="1" s="35"/>
    <row r="649" ht="14.25" customHeight="1" s="35"/>
    <row r="650" ht="14.25" customHeight="1" s="35"/>
    <row r="651" ht="14.25" customHeight="1" s="35"/>
    <row r="652" ht="14.25" customHeight="1" s="35"/>
    <row r="653" ht="14.25" customHeight="1" s="35"/>
    <row r="654" ht="14.25" customHeight="1" s="35"/>
    <row r="655" ht="14.25" customHeight="1" s="35"/>
    <row r="656" ht="14.25" customHeight="1" s="35"/>
    <row r="657" ht="14.25" customHeight="1" s="35"/>
    <row r="658" ht="14.25" customHeight="1" s="35"/>
    <row r="659" ht="14.25" customHeight="1" s="35"/>
    <row r="660" ht="14.25" customHeight="1" s="35"/>
    <row r="661" ht="14.25" customHeight="1" s="35"/>
    <row r="662" ht="14.25" customHeight="1" s="35"/>
    <row r="663" ht="14.25" customHeight="1" s="35"/>
    <row r="664" ht="14.25" customHeight="1" s="35"/>
    <row r="665" ht="14.25" customHeight="1" s="35"/>
    <row r="666" ht="14.25" customHeight="1" s="35"/>
    <row r="667" ht="14.25" customHeight="1" s="35"/>
    <row r="668" ht="14.25" customHeight="1" s="35"/>
    <row r="669" ht="14.25" customHeight="1" s="35"/>
    <row r="670" ht="14.25" customHeight="1" s="35"/>
    <row r="671" ht="14.25" customHeight="1" s="35"/>
    <row r="672" ht="14.25" customHeight="1" s="35"/>
    <row r="673" ht="14.25" customHeight="1" s="35"/>
    <row r="674" ht="14.25" customHeight="1" s="35"/>
    <row r="675" ht="14.25" customHeight="1" s="35"/>
    <row r="676" ht="14.25" customHeight="1" s="35"/>
    <row r="677" ht="14.25" customHeight="1" s="35"/>
    <row r="678" ht="14.25" customHeight="1" s="35"/>
    <row r="679" ht="14.25" customHeight="1" s="35"/>
    <row r="680" ht="14.25" customHeight="1" s="35"/>
    <row r="681" ht="14.25" customHeight="1" s="35"/>
    <row r="682" ht="14.25" customHeight="1" s="35"/>
    <row r="683" ht="14.25" customHeight="1" s="35"/>
    <row r="684" ht="14.25" customHeight="1" s="35"/>
    <row r="685" ht="14.25" customHeight="1" s="35"/>
    <row r="686" ht="14.25" customHeight="1" s="35"/>
    <row r="687" ht="14.25" customHeight="1" s="35"/>
    <row r="688" ht="14.25" customHeight="1" s="35"/>
    <row r="689" ht="14.25" customHeight="1" s="35"/>
    <row r="690" ht="14.25" customHeight="1" s="35"/>
    <row r="691" ht="14.25" customHeight="1" s="35"/>
    <row r="692" ht="14.25" customHeight="1" s="35"/>
    <row r="693" ht="14.25" customHeight="1" s="35"/>
    <row r="694" ht="14.25" customHeight="1" s="35"/>
    <row r="695" ht="14.25" customHeight="1" s="35"/>
    <row r="696" ht="14.25" customHeight="1" s="35"/>
    <row r="697" ht="14.25" customHeight="1" s="35"/>
    <row r="698" ht="14.25" customHeight="1" s="35"/>
    <row r="699" ht="14.25" customHeight="1" s="35"/>
    <row r="700" ht="14.25" customHeight="1" s="35"/>
    <row r="701" ht="14.25" customHeight="1" s="35"/>
    <row r="702" ht="14.25" customHeight="1" s="35"/>
    <row r="703" ht="14.25" customHeight="1" s="35"/>
    <row r="704" ht="14.25" customHeight="1" s="35"/>
    <row r="705" ht="14.25" customHeight="1" s="35"/>
    <row r="706" ht="14.25" customHeight="1" s="35"/>
    <row r="707" ht="14.25" customHeight="1" s="35"/>
    <row r="708" ht="14.25" customHeight="1" s="35"/>
    <row r="709" ht="14.25" customHeight="1" s="35"/>
    <row r="710" ht="14.25" customHeight="1" s="35"/>
    <row r="711" ht="14.25" customHeight="1" s="35"/>
    <row r="712" ht="14.25" customHeight="1" s="35"/>
    <row r="713" ht="14.25" customHeight="1" s="35"/>
    <row r="714" ht="14.25" customHeight="1" s="35"/>
    <row r="715" ht="14.25" customHeight="1" s="35"/>
    <row r="716" ht="14.25" customHeight="1" s="35"/>
    <row r="717" ht="14.25" customHeight="1" s="35"/>
    <row r="718" ht="14.25" customHeight="1" s="35"/>
    <row r="719" ht="14.25" customHeight="1" s="35"/>
    <row r="720" ht="14.25" customHeight="1" s="35"/>
    <row r="721" ht="14.25" customHeight="1" s="35"/>
    <row r="722" ht="14.25" customHeight="1" s="35"/>
    <row r="723" ht="14.25" customHeight="1" s="35"/>
    <row r="724" ht="14.25" customHeight="1" s="35"/>
    <row r="725" ht="14.25" customHeight="1" s="35"/>
    <row r="726" ht="14.25" customHeight="1" s="35"/>
    <row r="727" ht="14.25" customHeight="1" s="35"/>
    <row r="728" ht="14.25" customHeight="1" s="35"/>
    <row r="729" ht="14.25" customHeight="1" s="35"/>
    <row r="730" ht="14.25" customHeight="1" s="35"/>
    <row r="731" ht="14.25" customHeight="1" s="35"/>
    <row r="732" ht="14.25" customHeight="1" s="35"/>
    <row r="733" ht="14.25" customHeight="1" s="35"/>
    <row r="734" ht="14.25" customHeight="1" s="35"/>
    <row r="735" ht="14.25" customHeight="1" s="35"/>
    <row r="736" ht="14.25" customHeight="1" s="35"/>
    <row r="737" ht="14.25" customHeight="1" s="35"/>
    <row r="738" ht="14.25" customHeight="1" s="35"/>
    <row r="739" ht="14.25" customHeight="1" s="35"/>
    <row r="740" ht="14.25" customHeight="1" s="35"/>
    <row r="741" ht="14.25" customHeight="1" s="35"/>
    <row r="742" ht="14.25" customHeight="1" s="35"/>
    <row r="743" ht="14.25" customHeight="1" s="35"/>
    <row r="744" ht="14.25" customHeight="1" s="35"/>
    <row r="745" ht="14.25" customHeight="1" s="35"/>
    <row r="746" ht="14.25" customHeight="1" s="35"/>
    <row r="747" ht="14.25" customHeight="1" s="35"/>
    <row r="748" ht="14.25" customHeight="1" s="35"/>
    <row r="749" ht="14.25" customHeight="1" s="35"/>
    <row r="750" ht="14.25" customHeight="1" s="35"/>
    <row r="751" ht="14.25" customHeight="1" s="35"/>
    <row r="752" ht="14.25" customHeight="1" s="35"/>
    <row r="753" ht="14.25" customHeight="1" s="35"/>
    <row r="754" ht="14.25" customHeight="1" s="35"/>
    <row r="755" ht="14.25" customHeight="1" s="35"/>
    <row r="756" ht="14.25" customHeight="1" s="35"/>
    <row r="757" ht="14.25" customHeight="1" s="35"/>
    <row r="758" ht="14.25" customHeight="1" s="35"/>
    <row r="759" ht="14.25" customHeight="1" s="35"/>
    <row r="760" ht="14.25" customHeight="1" s="35"/>
    <row r="761" ht="14.25" customHeight="1" s="35"/>
    <row r="762" ht="14.25" customHeight="1" s="35"/>
    <row r="763" ht="14.25" customHeight="1" s="35"/>
    <row r="764" ht="14.25" customHeight="1" s="35"/>
    <row r="765" ht="14.25" customHeight="1" s="35"/>
    <row r="766" ht="14.25" customHeight="1" s="35"/>
    <row r="767" ht="14.25" customHeight="1" s="35"/>
    <row r="768" ht="14.25" customHeight="1" s="35"/>
    <row r="769" ht="14.25" customHeight="1" s="35"/>
    <row r="770" ht="14.25" customHeight="1" s="35"/>
    <row r="771" ht="14.25" customHeight="1" s="35"/>
    <row r="772" ht="14.25" customHeight="1" s="35"/>
    <row r="773" ht="14.25" customHeight="1" s="35"/>
    <row r="774" ht="14.25" customHeight="1" s="35"/>
    <row r="775" ht="14.25" customHeight="1" s="35"/>
    <row r="776" ht="14.25" customHeight="1" s="35"/>
    <row r="777" ht="14.25" customHeight="1" s="35"/>
    <row r="778" ht="14.25" customHeight="1" s="35"/>
    <row r="779" ht="14.25" customHeight="1" s="35"/>
    <row r="780" ht="14.25" customHeight="1" s="35"/>
    <row r="781" ht="14.25" customHeight="1" s="35"/>
    <row r="782" ht="14.25" customHeight="1" s="35"/>
    <row r="783" ht="14.25" customHeight="1" s="35"/>
    <row r="784" ht="14.25" customHeight="1" s="35"/>
    <row r="785" ht="14.25" customHeight="1" s="35"/>
    <row r="786" ht="14.25" customHeight="1" s="35"/>
    <row r="787" ht="14.25" customHeight="1" s="35"/>
    <row r="788" ht="14.25" customHeight="1" s="35"/>
    <row r="789" ht="14.25" customHeight="1" s="35"/>
    <row r="790" ht="14.25" customHeight="1" s="35"/>
    <row r="791" ht="14.25" customHeight="1" s="35"/>
    <row r="792" ht="14.25" customHeight="1" s="35"/>
    <row r="793" ht="14.25" customHeight="1" s="35"/>
    <row r="794" ht="14.25" customHeight="1" s="35"/>
    <row r="795" ht="14.25" customHeight="1" s="35"/>
    <row r="796" ht="14.25" customHeight="1" s="35"/>
    <row r="797" ht="14.25" customHeight="1" s="35"/>
    <row r="798" ht="14.25" customHeight="1" s="35"/>
    <row r="799" ht="14.25" customHeight="1" s="35"/>
    <row r="800" ht="14.25" customHeight="1" s="35"/>
    <row r="801" ht="14.25" customHeight="1" s="35"/>
    <row r="802" ht="14.25" customHeight="1" s="35"/>
    <row r="803" ht="14.25" customHeight="1" s="35"/>
    <row r="804" ht="14.25" customHeight="1" s="35"/>
    <row r="805" ht="14.25" customHeight="1" s="35"/>
    <row r="806" ht="14.25" customHeight="1" s="35"/>
    <row r="807" ht="14.25" customHeight="1" s="35"/>
    <row r="808" ht="14.25" customHeight="1" s="35"/>
    <row r="809" ht="14.25" customHeight="1" s="35"/>
    <row r="810" ht="14.25" customHeight="1" s="35"/>
    <row r="811" ht="14.25" customHeight="1" s="35"/>
    <row r="812" ht="14.25" customHeight="1" s="35"/>
    <row r="813" ht="14.25" customHeight="1" s="35"/>
    <row r="814" ht="14.25" customHeight="1" s="35"/>
    <row r="815" ht="14.25" customHeight="1" s="35"/>
    <row r="816" ht="14.25" customHeight="1" s="35"/>
    <row r="817" ht="14.25" customHeight="1" s="35"/>
    <row r="818" ht="14.25" customHeight="1" s="35"/>
    <row r="819" ht="14.25" customHeight="1" s="35"/>
    <row r="820" ht="14.25" customHeight="1" s="35"/>
    <row r="821" ht="14.25" customHeight="1" s="35"/>
    <row r="822" ht="14.25" customHeight="1" s="35"/>
    <row r="823" ht="14.25" customHeight="1" s="35"/>
    <row r="824" ht="14.25" customHeight="1" s="35"/>
    <row r="825" ht="14.25" customHeight="1" s="35"/>
    <row r="826" ht="14.25" customHeight="1" s="35"/>
    <row r="827" ht="14.25" customHeight="1" s="35"/>
    <row r="828" ht="14.25" customHeight="1" s="35"/>
    <row r="829" ht="14.25" customHeight="1" s="35"/>
    <row r="830" ht="14.25" customHeight="1" s="35"/>
    <row r="831" ht="14.25" customHeight="1" s="35"/>
    <row r="832" ht="14.25" customHeight="1" s="35"/>
    <row r="833" ht="14.25" customHeight="1" s="35"/>
    <row r="834" ht="14.25" customHeight="1" s="35"/>
    <row r="835" ht="14.25" customHeight="1" s="35"/>
    <row r="836" ht="14.25" customHeight="1" s="35"/>
    <row r="837" ht="14.25" customHeight="1" s="35"/>
    <row r="838" ht="14.25" customHeight="1" s="35"/>
    <row r="839" ht="14.25" customHeight="1" s="35"/>
    <row r="840" ht="14.25" customHeight="1" s="35"/>
    <row r="841" ht="14.25" customHeight="1" s="35"/>
    <row r="842" ht="14.25" customHeight="1" s="35"/>
    <row r="843" ht="14.25" customHeight="1" s="35"/>
    <row r="844" ht="14.25" customHeight="1" s="35"/>
    <row r="845" ht="14.25" customHeight="1" s="35"/>
    <row r="846" ht="14.25" customHeight="1" s="35"/>
    <row r="847" ht="14.25" customHeight="1" s="35"/>
    <row r="848" ht="14.25" customHeight="1" s="35"/>
    <row r="849" ht="14.25" customHeight="1" s="35"/>
    <row r="850" ht="14.25" customHeight="1" s="35"/>
    <row r="851" ht="14.25" customHeight="1" s="35"/>
    <row r="852" ht="14.25" customHeight="1" s="35"/>
    <row r="853" ht="14.25" customHeight="1" s="35"/>
    <row r="854" ht="14.25" customHeight="1" s="35"/>
    <row r="855" ht="14.25" customHeight="1" s="35"/>
    <row r="856" ht="14.25" customHeight="1" s="35"/>
    <row r="857" ht="14.25" customHeight="1" s="35"/>
    <row r="858" ht="14.25" customHeight="1" s="35"/>
    <row r="859" ht="14.25" customHeight="1" s="35"/>
    <row r="860" ht="14.25" customHeight="1" s="35"/>
    <row r="861" ht="14.25" customHeight="1" s="35"/>
    <row r="862" ht="14.25" customHeight="1" s="35"/>
    <row r="863" ht="14.25" customHeight="1" s="35"/>
    <row r="864" ht="14.25" customHeight="1" s="35"/>
    <row r="865" ht="14.25" customHeight="1" s="35"/>
    <row r="866" ht="14.25" customHeight="1" s="35"/>
    <row r="867" ht="14.25" customHeight="1" s="35"/>
    <row r="868" ht="14.25" customHeight="1" s="35"/>
    <row r="869" ht="14.25" customHeight="1" s="35"/>
    <row r="870" ht="14.25" customHeight="1" s="35"/>
    <row r="871" ht="14.25" customHeight="1" s="35"/>
    <row r="872" ht="14.25" customHeight="1" s="35"/>
    <row r="873" ht="14.25" customHeight="1" s="35"/>
    <row r="874" ht="14.25" customHeight="1" s="35"/>
    <row r="875" ht="14.25" customHeight="1" s="35"/>
    <row r="876" ht="14.25" customHeight="1" s="35"/>
    <row r="877" ht="14.25" customHeight="1" s="35"/>
    <row r="878" ht="14.25" customHeight="1" s="35"/>
    <row r="879" ht="14.25" customHeight="1" s="35"/>
    <row r="880" ht="14.25" customHeight="1" s="35"/>
    <row r="881" ht="14.25" customHeight="1" s="35"/>
    <row r="882" ht="14.25" customHeight="1" s="35"/>
    <row r="883" ht="14.25" customHeight="1" s="35"/>
    <row r="884" ht="14.25" customHeight="1" s="35"/>
    <row r="885" ht="14.25" customHeight="1" s="35"/>
    <row r="886" ht="14.25" customHeight="1" s="35"/>
    <row r="887" ht="14.25" customHeight="1" s="35"/>
    <row r="888" ht="14.25" customHeight="1" s="35"/>
    <row r="889" ht="14.25" customHeight="1" s="35"/>
    <row r="890" ht="14.25" customHeight="1" s="35"/>
    <row r="891" ht="14.25" customHeight="1" s="35"/>
    <row r="892" ht="14.25" customHeight="1" s="35"/>
    <row r="893" ht="14.25" customHeight="1" s="35"/>
    <row r="894" ht="14.25" customHeight="1" s="35"/>
    <row r="895" ht="14.25" customHeight="1" s="35"/>
    <row r="896" ht="14.25" customHeight="1" s="35"/>
    <row r="897" ht="14.25" customHeight="1" s="35"/>
    <row r="898" ht="14.25" customHeight="1" s="35"/>
    <row r="899" ht="14.25" customHeight="1" s="35"/>
    <row r="900" ht="14.25" customHeight="1" s="35"/>
    <row r="901" ht="14.25" customHeight="1" s="35"/>
    <row r="902" ht="14.25" customHeight="1" s="35"/>
    <row r="903" ht="14.25" customHeight="1" s="35"/>
    <row r="904" ht="14.25" customHeight="1" s="35"/>
    <row r="905" ht="14.25" customHeight="1" s="35"/>
    <row r="906" ht="14.25" customHeight="1" s="35"/>
    <row r="907" ht="14.25" customHeight="1" s="35"/>
    <row r="908" ht="14.25" customHeight="1" s="35"/>
    <row r="909" ht="14.25" customHeight="1" s="35"/>
    <row r="910" ht="14.25" customHeight="1" s="35"/>
    <row r="911" ht="14.25" customHeight="1" s="35"/>
    <row r="912" ht="14.25" customHeight="1" s="35"/>
    <row r="913" ht="14.25" customHeight="1" s="35"/>
    <row r="914" ht="14.25" customHeight="1" s="35"/>
    <row r="915" ht="14.25" customHeight="1" s="35"/>
    <row r="916" ht="14.25" customHeight="1" s="35"/>
    <row r="917" ht="14.25" customHeight="1" s="35"/>
    <row r="918" ht="14.25" customHeight="1" s="35"/>
    <row r="919" ht="14.25" customHeight="1" s="35"/>
    <row r="920" ht="14.25" customHeight="1" s="35"/>
    <row r="921" ht="14.25" customHeight="1" s="35"/>
    <row r="922" ht="14.25" customHeight="1" s="35"/>
    <row r="923" ht="14.25" customHeight="1" s="35"/>
    <row r="924" ht="14.25" customHeight="1" s="35"/>
    <row r="925" ht="14.25" customHeight="1" s="35"/>
    <row r="926" ht="14.25" customHeight="1" s="35"/>
    <row r="927" ht="14.25" customHeight="1" s="35"/>
    <row r="928" ht="14.25" customHeight="1" s="35"/>
    <row r="929" ht="14.25" customHeight="1" s="35"/>
    <row r="930" ht="14.25" customHeight="1" s="35"/>
    <row r="931" ht="14.25" customHeight="1" s="35"/>
    <row r="932" ht="14.25" customHeight="1" s="35"/>
    <row r="933" ht="14.25" customHeight="1" s="35"/>
    <row r="934" ht="14.25" customHeight="1" s="35"/>
    <row r="935" ht="14.25" customHeight="1" s="35"/>
    <row r="936" ht="14.25" customHeight="1" s="35"/>
    <row r="937" ht="14.25" customHeight="1" s="35"/>
    <row r="938" ht="14.25" customHeight="1" s="35"/>
    <row r="939" ht="14.25" customHeight="1" s="35"/>
    <row r="940" ht="14.25" customHeight="1" s="35"/>
    <row r="941" ht="14.25" customHeight="1" s="35"/>
    <row r="942" ht="14.25" customHeight="1" s="35"/>
    <row r="943" ht="14.25" customHeight="1" s="35"/>
    <row r="944" ht="14.25" customHeight="1" s="35"/>
    <row r="945" ht="14.25" customHeight="1" s="35"/>
    <row r="946" ht="14.25" customHeight="1" s="35"/>
    <row r="947" ht="14.25" customHeight="1" s="35"/>
    <row r="948" ht="14.25" customHeight="1" s="35"/>
    <row r="949" ht="14.25" customHeight="1" s="35"/>
    <row r="950" ht="14.25" customHeight="1" s="35"/>
    <row r="951" ht="14.25" customHeight="1" s="35"/>
    <row r="952" ht="14.25" customHeight="1" s="35"/>
    <row r="953" ht="14.25" customHeight="1" s="35"/>
    <row r="954" ht="14.25" customHeight="1" s="35"/>
    <row r="955" ht="14.25" customHeight="1" s="35"/>
    <row r="956" ht="14.25" customHeight="1" s="35"/>
    <row r="957" ht="14.25" customHeight="1" s="35"/>
    <row r="958" ht="14.25" customHeight="1" s="35"/>
    <row r="959" ht="14.25" customHeight="1" s="35"/>
    <row r="960" ht="14.25" customHeight="1" s="35"/>
    <row r="961" ht="14.25" customHeight="1" s="35"/>
    <row r="962" ht="14.25" customHeight="1" s="35"/>
    <row r="963" ht="14.25" customHeight="1" s="35"/>
    <row r="964" ht="14.25" customHeight="1" s="35"/>
    <row r="965" ht="14.25" customHeight="1" s="35"/>
    <row r="966" ht="14.25" customHeight="1" s="35"/>
    <row r="967" ht="14.25" customHeight="1" s="35"/>
    <row r="968" ht="14.25" customHeight="1" s="35"/>
    <row r="969" ht="14.25" customHeight="1" s="35"/>
    <row r="970" ht="14.25" customHeight="1" s="35"/>
    <row r="971" ht="14.25" customHeight="1" s="35"/>
    <row r="972" ht="14.25" customHeight="1" s="35"/>
    <row r="973" ht="14.25" customHeight="1" s="35"/>
    <row r="974" ht="14.25" customHeight="1" s="35"/>
    <row r="975" ht="14.25" customHeight="1" s="35"/>
    <row r="976" ht="14.25" customHeight="1" s="35"/>
    <row r="977" ht="14.25" customHeight="1" s="35"/>
    <row r="978" ht="14.25" customHeight="1" s="35"/>
    <row r="979" ht="14.25" customHeight="1" s="35"/>
    <row r="980" ht="14.25" customHeight="1" s="35"/>
    <row r="981" ht="14.25" customHeight="1" s="35"/>
    <row r="982" ht="14.25" customHeight="1" s="35"/>
    <row r="983" ht="14.25" customHeight="1" s="35"/>
    <row r="984" ht="14.25" customHeight="1" s="35"/>
    <row r="985" ht="14.25" customHeight="1" s="35"/>
    <row r="986" ht="14.25" customHeight="1" s="35"/>
    <row r="987" ht="14.25" customHeight="1" s="35"/>
    <row r="988" ht="14.25" customHeight="1" s="35"/>
    <row r="989" ht="14.25" customHeight="1" s="35"/>
    <row r="990" ht="14.25" customHeight="1" s="35"/>
    <row r="991" ht="14.25" customHeight="1" s="35"/>
    <row r="992" ht="14.25" customHeight="1" s="35"/>
    <row r="993" ht="14.25" customHeight="1" s="35"/>
    <row r="994" ht="14.25" customHeight="1" s="35"/>
    <row r="995" ht="14.25" customHeight="1" s="35"/>
    <row r="996" ht="14.25" customHeight="1" s="35"/>
    <row r="997" ht="14.25" customHeight="1" s="35"/>
    <row r="998" ht="14.25" customHeight="1" s="35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tabSelected="1" topLeftCell="A25" workbookViewId="0">
      <selection activeCell="S31" sqref="S31"/>
    </sheetView>
  </sheetViews>
  <sheetFormatPr baseColWidth="8" defaultColWidth="14.453125" defaultRowHeight="15" customHeight="1"/>
  <cols>
    <col width="6.453125" customWidth="1" style="35" min="1" max="1"/>
    <col width="7" customWidth="1" style="35" min="2" max="2"/>
    <col width="31.81640625" customWidth="1" style="35" min="3" max="3"/>
    <col hidden="1" width="5" customWidth="1" style="35" min="4" max="15"/>
    <col hidden="1" width="5" customWidth="1" style="35" min="5" max="5"/>
    <col hidden="1" width="5" customWidth="1" style="35" min="6" max="6"/>
    <col hidden="1" width="5" customWidth="1" style="35" min="7" max="7"/>
    <col hidden="1" width="5" customWidth="1" style="35" min="8" max="8"/>
    <col hidden="1" width="5" customWidth="1" style="35" min="9" max="9"/>
    <col hidden="1" width="5" customWidth="1" style="35" min="10" max="10"/>
    <col hidden="1" width="5" customWidth="1" style="35" min="11" max="11"/>
    <col hidden="1" width="5" customWidth="1" style="35" min="12" max="12"/>
    <col hidden="1" width="5" customWidth="1" style="35" min="13" max="13"/>
    <col hidden="1" width="5" customWidth="1" style="35" min="14" max="14"/>
    <col hidden="1" width="5" customWidth="1" style="35" min="15" max="15"/>
    <col hidden="1" width="5" customWidth="1" style="35" min="16" max="34"/>
    <col width="5" customWidth="1" style="35" min="17" max="17"/>
    <col width="5" customWidth="1" style="35" min="18" max="18"/>
    <col width="5" customWidth="1" style="35" min="19" max="19"/>
    <col width="5" customWidth="1" style="35" min="20" max="20"/>
    <col width="5" customWidth="1" style="35" min="21" max="21"/>
    <col width="5" customWidth="1" style="35" min="22" max="22"/>
    <col width="5" customWidth="1" style="35" min="23" max="23"/>
    <col width="5" customWidth="1" style="35" min="24" max="24"/>
    <col width="5" customWidth="1" style="35" min="25" max="25"/>
    <col width="5" customWidth="1" style="35" min="26" max="26"/>
    <col width="5" customWidth="1" style="35" min="27" max="27"/>
    <col width="5" customWidth="1" style="35" min="28" max="28"/>
    <col width="5" customWidth="1" style="35" min="29" max="29"/>
    <col width="5" customWidth="1" style="35" min="30" max="30"/>
    <col width="5" customWidth="1" style="35" min="31" max="31"/>
    <col width="5" customWidth="1" style="35" min="32" max="32"/>
    <col width="5" customWidth="1" style="35" min="33" max="33"/>
    <col width="5" customWidth="1" style="35" min="34" max="34"/>
    <col width="8.7265625" customWidth="1" style="35" min="35" max="37"/>
    <col width="5.54296875" customWidth="1" style="35" min="38" max="41"/>
  </cols>
  <sheetData>
    <row r="1" ht="14.25" customHeight="1" s="35">
      <c r="A1" s="34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5">
      <c r="A2" s="36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5">
      <c r="A3" s="4" t="inlineStr">
        <is>
          <t>Kelas</t>
        </is>
      </c>
      <c r="B3" s="4" t="n"/>
      <c r="C3" s="4">
        <f>" : " &amp; IF(AJ2="","",AJ2)</f>
        <v/>
      </c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5">
      <c r="A4" s="4" t="inlineStr">
        <is>
          <t>Walikelas</t>
        </is>
      </c>
      <c r="B4" s="4" t="n"/>
      <c r="C4" s="4">
        <f>IFERROR(" :  " &amp;VLOOKUP($A$7&amp;$AJ$2,#REF!,6,FALSE), "")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5">
      <c r="A5" s="37" t="inlineStr">
        <is>
          <t>Nomor</t>
        </is>
      </c>
      <c r="B5" s="39" t="n"/>
      <c r="C5" s="40" t="inlineStr">
        <is>
          <t>Nama</t>
        </is>
      </c>
      <c r="D5" s="37" t="inlineStr">
        <is>
          <t>April</t>
        </is>
      </c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9" t="n"/>
    </row>
    <row r="6" ht="14.25" customHeight="1" s="35">
      <c r="A6" s="37" t="inlineStr">
        <is>
          <t>Urt</t>
        </is>
      </c>
      <c r="B6" s="37" t="inlineStr">
        <is>
          <t>Induk</t>
        </is>
      </c>
      <c r="C6" s="41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5">
      <c r="A7" s="9" t="n">
        <v>1</v>
      </c>
      <c r="B7" s="10">
        <f>IFERROR(VLOOKUP(A7&amp;$AJ$2,Data!$A$2:$AM$135,3,FALSE), "")</f>
        <v/>
      </c>
      <c r="C7" s="11">
        <f>IFERROR(VLOOKUP(A7&amp;$AJ$2,Data!$A$2:$AM$135,4,FALSE), "")</f>
        <v/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33" t="n"/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>
        <f>COUNTIF(D7:AH7,"S")</f>
        <v/>
      </c>
      <c r="AM7" s="8">
        <f>COUNTIF(D7:AH7,"I")</f>
        <v/>
      </c>
      <c r="AN7" s="8">
        <f>COUNTIF(D7:AH7,"A")</f>
        <v/>
      </c>
      <c r="AO7" s="8">
        <f>SUM(AL7:AN7)</f>
        <v/>
      </c>
    </row>
    <row r="8" ht="12" customHeight="1" s="35">
      <c r="A8" s="9" t="n">
        <v>2</v>
      </c>
      <c r="B8" s="10">
        <f>IFERROR(VLOOKUP(A8&amp;$AJ$2,Data!$A$2:$AM$135,3,FALSE), "")</f>
        <v/>
      </c>
      <c r="C8" s="11">
        <f>IFERROR(VLOOKUP(A8&amp;$AJ$2,Data!$A$2:$AM$135,4,FALSE), "")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>
        <f>COUNTIF(D8:AH8,"S")</f>
        <v/>
      </c>
      <c r="AM8" s="8">
        <f>COUNTIF(D8:AH8,"I")</f>
        <v/>
      </c>
      <c r="AN8" s="8">
        <f>COUNTIF(D8:AH8,"A")</f>
        <v/>
      </c>
      <c r="AO8" s="8">
        <f>SUM(AL8:AN8)</f>
        <v/>
      </c>
    </row>
    <row r="9" ht="12" customHeight="1" s="35">
      <c r="A9" s="9" t="n">
        <v>3</v>
      </c>
      <c r="B9" s="10">
        <f>IFERROR(VLOOKUP(A9&amp;$AJ$2,Data!$A$2:$AM$135,3,FALSE), "")</f>
        <v/>
      </c>
      <c r="C9" s="11">
        <f>IFERROR(VLOOKUP(A9&amp;$AJ$2,Data!$A$2:$AM$135,4,FALSE), "")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inlineStr">
        <is>
          <t>S</t>
        </is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>
        <f>COUNTIF(D9:AH9,"S")</f>
        <v/>
      </c>
      <c r="AM9" s="8">
        <f>COUNTIF(D9:AH9,"I")</f>
        <v/>
      </c>
      <c r="AN9" s="8">
        <f>COUNTIF(D9:AH9,"A")</f>
        <v/>
      </c>
      <c r="AO9" s="8">
        <f>SUM(AL9:AN9)</f>
        <v/>
      </c>
    </row>
    <row r="10" ht="12" customHeight="1" s="35">
      <c r="A10" s="9" t="n">
        <v>4</v>
      </c>
      <c r="B10" s="10">
        <f>IFERROR(VLOOKUP(A10&amp;$AJ$2,Data!$A$2:$AM$135,3,FALSE), "")</f>
        <v/>
      </c>
      <c r="C10" s="11">
        <f>IFERROR(VLOOKUP(A10&amp;$AJ$2,Data!$A$2:$AM$135,4,FALSE), "")</f>
        <v/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>
        <f>COUNTIF(D10:AH10,"S")</f>
        <v/>
      </c>
      <c r="AM10" s="8">
        <f>COUNTIF(D10:AH10,"I")</f>
        <v/>
      </c>
      <c r="AN10" s="8">
        <f>COUNTIF(D10:AH10,"A")</f>
        <v/>
      </c>
      <c r="AO10" s="8">
        <f>SUM(AL10:AN10)</f>
        <v/>
      </c>
    </row>
    <row r="11" ht="12" customHeight="1" s="35">
      <c r="A11" s="9" t="n">
        <v>5</v>
      </c>
      <c r="B11" s="10">
        <f>IFERROR(VLOOKUP(A11&amp;$AJ$2,Data!$A$2:$AM$135,3,FALSE), "")</f>
        <v/>
      </c>
      <c r="C11" s="11">
        <f>IFERROR(VLOOKUP(A11&amp;$AJ$2,Data!$A$2:$AM$135,4,FALSE), "")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>
        <f>COUNTIF(D11:AH11,"S")</f>
        <v/>
      </c>
      <c r="AM11" s="8">
        <f>COUNTIF(D11:AH11,"I")</f>
        <v/>
      </c>
      <c r="AN11" s="8">
        <f>COUNTIF(D11:AH11,"A")</f>
        <v/>
      </c>
      <c r="AO11" s="8">
        <f>SUM(AL11:AN11)</f>
        <v/>
      </c>
    </row>
    <row r="12" ht="12" customHeight="1" s="35">
      <c r="A12" s="9" t="n">
        <v>6</v>
      </c>
      <c r="B12" s="10">
        <f>IFERROR(VLOOKUP(A12&amp;$AJ$2,Data!$A$2:$AM$135,3,FALSE), "")</f>
        <v/>
      </c>
      <c r="C12" s="11">
        <f>IFERROR(VLOOKUP(A12&amp;$AJ$2,Data!$A$2:$AM$135,4,FALSE), "")</f>
        <v/>
      </c>
      <c r="D12" s="8" t="n"/>
      <c r="E12" s="8" t="n"/>
      <c r="F12" s="8" t="n"/>
      <c r="G12" s="8" t="n"/>
      <c r="H12" s="8" t="n"/>
      <c r="I12" s="8" t="inlineStr">
        <is>
          <t>S</t>
        </is>
      </c>
      <c r="J12" s="8" t="n"/>
      <c r="K12" s="8" t="inlineStr">
        <is>
          <t>S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>
        <f>COUNTIF(D12:AH12,"S")</f>
        <v/>
      </c>
      <c r="AM12" s="8">
        <f>COUNTIF(D12:AH12,"I")</f>
        <v/>
      </c>
      <c r="AN12" s="8">
        <f>COUNTIF(D12:AH12,"A")</f>
        <v/>
      </c>
      <c r="AO12" s="8">
        <f>SUM(AL12:AN12)</f>
        <v/>
      </c>
    </row>
    <row r="13" ht="12" customHeight="1" s="35">
      <c r="A13" s="9" t="n">
        <v>7</v>
      </c>
      <c r="B13" s="10">
        <f>IFERROR(VLOOKUP(A13&amp;$AJ$2,Data!$A$2:$AM$135,3,FALSE), "")</f>
        <v/>
      </c>
      <c r="C13" s="11">
        <f>IFERROR(VLOOKUP(A13&amp;$AJ$2,Data!$A$2:$AM$135,4,FALSE), "")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>
        <f>COUNTIF(D13:AH13,"S")</f>
        <v/>
      </c>
      <c r="AM13" s="8">
        <f>COUNTIF(D13:AH13,"I")</f>
        <v/>
      </c>
      <c r="AN13" s="8">
        <f>COUNTIF(D13:AH13,"A")</f>
        <v/>
      </c>
      <c r="AO13" s="8">
        <f>SUM(AL13:AN13)</f>
        <v/>
      </c>
    </row>
    <row r="14" ht="12" customHeight="1" s="35">
      <c r="A14" s="9" t="n">
        <v>8</v>
      </c>
      <c r="B14" s="10">
        <f>IFERROR(VLOOKUP(A14&amp;$AJ$2,Data!$A$2:$AM$135,3,FALSE), "")</f>
        <v/>
      </c>
      <c r="C14" s="11">
        <f>IFERROR(VLOOKUP(A14&amp;$AJ$2,Data!$A$2:$AM$135,4,FALSE), "")</f>
        <v/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>
        <f>COUNTIF(D14:AH14,"S")</f>
        <v/>
      </c>
      <c r="AM14" s="8">
        <f>COUNTIF(D14:AH14,"I")</f>
        <v/>
      </c>
      <c r="AN14" s="8">
        <f>COUNTIF(D14:AH14,"A")</f>
        <v/>
      </c>
      <c r="AO14" s="8">
        <f>SUM(AL14:AN14)</f>
        <v/>
      </c>
    </row>
    <row r="15" ht="12" customHeight="1" s="35">
      <c r="A15" s="9" t="n">
        <v>9</v>
      </c>
      <c r="B15" s="10">
        <f>IFERROR(VLOOKUP(A15&amp;$AJ$2,Data!$A$2:$AM$135,3,FALSE), "")</f>
        <v/>
      </c>
      <c r="C15" s="11">
        <f>IFERROR(VLOOKUP(A15&amp;$AJ$2,Data!$A$2:$AM$135,4,FALSE), "")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>
        <f>COUNTIF(D15:AH15,"S")</f>
        <v/>
      </c>
      <c r="AM15" s="8">
        <f>COUNTIF(D15:AH15,"I")</f>
        <v/>
      </c>
      <c r="AN15" s="8">
        <f>COUNTIF(D15:AH15,"A")</f>
        <v/>
      </c>
      <c r="AO15" s="8">
        <f>SUM(AL15:AN15)</f>
        <v/>
      </c>
    </row>
    <row r="16" ht="12" customHeight="1" s="35">
      <c r="A16" s="9" t="n">
        <v>10</v>
      </c>
      <c r="B16" s="10">
        <f>IFERROR(VLOOKUP(A16&amp;$AJ$2,Data!$A$2:$AM$135,3,FALSE), "")</f>
        <v/>
      </c>
      <c r="C16" s="11">
        <f>IFERROR(VLOOKUP(A16&amp;$AJ$2,Data!$A$2:$AM$135,4,FALSE), "")</f>
        <v/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>
        <f>COUNTIF(D16:AH16,"S")</f>
        <v/>
      </c>
      <c r="AM16" s="8">
        <f>COUNTIF(D16:AH16,"I")</f>
        <v/>
      </c>
      <c r="AN16" s="8">
        <f>COUNTIF(D16:AH16,"A")</f>
        <v/>
      </c>
      <c r="AO16" s="8">
        <f>SUM(AL16:AN16)</f>
        <v/>
      </c>
    </row>
    <row r="17" ht="12" customHeight="1" s="35">
      <c r="A17" s="9" t="n">
        <v>11</v>
      </c>
      <c r="B17" s="10">
        <f>IFERROR(VLOOKUP(A17&amp;$AJ$2,Data!$A$2:$AM$135,3,FALSE), "")</f>
        <v/>
      </c>
      <c r="C17" s="11">
        <f>IFERROR(VLOOKUP(A17&amp;$AJ$2,Data!$A$2:$AM$135,4,FALSE), "")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>
        <f>COUNTIF(D17:AH17,"S")</f>
        <v/>
      </c>
      <c r="AM17" s="8">
        <f>COUNTIF(D17:AH17,"I")</f>
        <v/>
      </c>
      <c r="AN17" s="8">
        <f>COUNTIF(D17:AH17,"A")</f>
        <v/>
      </c>
      <c r="AO17" s="8">
        <f>SUM(AL17:AN17)</f>
        <v/>
      </c>
    </row>
    <row r="18" ht="12" customHeight="1" s="35">
      <c r="A18" s="9" t="n">
        <v>12</v>
      </c>
      <c r="B18" s="10">
        <f>IFERROR(VLOOKUP(A18&amp;$AJ$2,Data!$A$2:$AM$135,3,FALSE), "")</f>
        <v/>
      </c>
      <c r="C18" s="11">
        <f>IFERROR(VLOOKUP(A18&amp;$AJ$2,Data!$A$2:$AM$135,4,FALSE), "")</f>
        <v/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>
        <f>COUNTIF(D18:AH18,"S")</f>
        <v/>
      </c>
      <c r="AM18" s="8">
        <f>COUNTIF(D18:AH18,"I")</f>
        <v/>
      </c>
      <c r="AN18" s="8">
        <f>COUNTIF(D18:AH18,"A")</f>
        <v/>
      </c>
      <c r="AO18" s="8">
        <f>SUM(AL18:AN18)</f>
        <v/>
      </c>
    </row>
    <row r="19" ht="12" customHeight="1" s="35">
      <c r="A19" s="9" t="n">
        <v>13</v>
      </c>
      <c r="B19" s="10">
        <f>IFERROR(VLOOKUP(A19&amp;$AJ$2,Data!$A$2:$AM$135,3,FALSE), "")</f>
        <v/>
      </c>
      <c r="C19" s="11">
        <f>IFERROR(VLOOKUP(A19&amp;$AJ$2,Data!$A$2:$AM$135,4,FALSE), "")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>
        <f>COUNTIF(D19:AH19,"S")</f>
        <v/>
      </c>
      <c r="AM19" s="8">
        <f>COUNTIF(D19:AH19,"I")</f>
        <v/>
      </c>
      <c r="AN19" s="8">
        <f>COUNTIF(D19:AH19,"A")</f>
        <v/>
      </c>
      <c r="AO19" s="8">
        <f>SUM(AL19:AN19)</f>
        <v/>
      </c>
    </row>
    <row r="20" ht="12" customHeight="1" s="35">
      <c r="A20" s="9" t="n">
        <v>14</v>
      </c>
      <c r="B20" s="10">
        <f>IFERROR(VLOOKUP(A20&amp;$AJ$2,Data!$A$2:$AM$135,3,FALSE), "")</f>
        <v/>
      </c>
      <c r="C20" s="11">
        <f>IFERROR(VLOOKUP(A20&amp;$AJ$2,Data!$A$2:$AM$135,4,FALSE), "")</f>
        <v/>
      </c>
      <c r="D20" s="8" t="inlineStr">
        <is>
          <t>S</t>
        </is>
      </c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>
        <f>COUNTIF(D20:AH20,"S")</f>
        <v/>
      </c>
      <c r="AM20" s="8">
        <f>COUNTIF(D20:AH20,"I")</f>
        <v/>
      </c>
      <c r="AN20" s="8">
        <f>COUNTIF(D20:AH20,"A")</f>
        <v/>
      </c>
      <c r="AO20" s="8">
        <f>SUM(AL20:AN20)</f>
        <v/>
      </c>
    </row>
    <row r="21" ht="12" customHeight="1" s="35">
      <c r="A21" s="9" t="n">
        <v>15</v>
      </c>
      <c r="B21" s="10">
        <f>IFERROR(VLOOKUP(A21&amp;$AJ$2,Data!$A$2:$AM$135,3,FALSE), "")</f>
        <v/>
      </c>
      <c r="C21" s="11">
        <f>IFERROR(VLOOKUP(A21&amp;$AJ$2,Data!$A$2:$AM$135,4,FALSE), "")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>
        <f>COUNTIF(D21:AH21,"S")</f>
        <v/>
      </c>
      <c r="AM21" s="8">
        <f>COUNTIF(D21:AH21,"I")</f>
        <v/>
      </c>
      <c r="AN21" s="8">
        <f>COUNTIF(D21:AH21,"A")</f>
        <v/>
      </c>
      <c r="AO21" s="8">
        <f>SUM(AL21:AN21)</f>
        <v/>
      </c>
    </row>
    <row r="22" ht="12" customHeight="1" s="35">
      <c r="A22" s="9" t="n">
        <v>16</v>
      </c>
      <c r="B22" s="10">
        <f>IFERROR(VLOOKUP(A22&amp;$AJ$2,Data!$A$2:$AM$135,3,FALSE), "")</f>
        <v/>
      </c>
      <c r="C22" s="11">
        <f>IFERROR(VLOOKUP(A22&amp;$AJ$2,Data!$A$2:$AM$135,4,FALSE), "")</f>
        <v/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>
        <f>COUNTIF(D22:AH22,"S")</f>
        <v/>
      </c>
      <c r="AM22" s="8">
        <f>COUNTIF(D22:AH22,"I")</f>
        <v/>
      </c>
      <c r="AN22" s="8">
        <f>COUNTIF(D22:AH22,"A")</f>
        <v/>
      </c>
      <c r="AO22" s="8">
        <f>SUM(AL22:AN22)</f>
        <v/>
      </c>
    </row>
    <row r="23" ht="12" customHeight="1" s="35">
      <c r="A23" s="9" t="n">
        <v>17</v>
      </c>
      <c r="B23" s="10">
        <f>IFERROR(VLOOKUP(A23&amp;$AJ$2,Data!$A$2:$AM$135,3,FALSE), "")</f>
        <v/>
      </c>
      <c r="C23" s="11">
        <f>IFERROR(VLOOKUP(A23&amp;$AJ$2,Data!$A$2:$AM$135,4,FALSE), "")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S</t>
        </is>
      </c>
      <c r="M23" s="8" t="n"/>
      <c r="N23" s="8" t="n"/>
      <c r="O23" s="8" t="n"/>
      <c r="P23" s="8" t="inlineStr">
        <is>
          <t>S</t>
        </is>
      </c>
      <c r="Q23" s="8" t="inlineStr">
        <is>
          <t>S</t>
        </is>
      </c>
      <c r="R23" s="8" t="inlineStr">
        <is>
          <t>S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>
        <f>COUNTIF(D23:AH23,"S")</f>
        <v/>
      </c>
      <c r="AM23" s="8">
        <f>COUNTIF(D23:AH23,"I")</f>
        <v/>
      </c>
      <c r="AN23" s="8">
        <f>COUNTIF(D23:AH23,"A")</f>
        <v/>
      </c>
      <c r="AO23" s="8">
        <f>SUM(AL23:AN23)</f>
        <v/>
      </c>
    </row>
    <row r="24" ht="12" customHeight="1" s="35">
      <c r="A24" s="9" t="n">
        <v>18</v>
      </c>
      <c r="B24" s="10">
        <f>IFERROR(VLOOKUP(A24&amp;$AJ$2,Data!$A$2:$AM$135,3,FALSE), "")</f>
        <v/>
      </c>
      <c r="C24" s="11">
        <f>IFERROR(VLOOKUP(A24&amp;$AJ$2,Data!$A$2:$AM$135,4,FALSE), "")</f>
        <v/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>
        <f>COUNTIF(D24:AH24,"S")</f>
        <v/>
      </c>
      <c r="AM24" s="8">
        <f>COUNTIF(D24:AH24,"I")</f>
        <v/>
      </c>
      <c r="AN24" s="8">
        <f>COUNTIF(D24:AH24,"A")</f>
        <v/>
      </c>
      <c r="AO24" s="8">
        <f>SUM(AL24:AN24)</f>
        <v/>
      </c>
    </row>
    <row r="25" ht="12" customHeight="1" s="35">
      <c r="A25" s="9" t="n">
        <v>19</v>
      </c>
      <c r="B25" s="10">
        <f>IFERROR(VLOOKUP(A25&amp;$AJ$2,Data!$A$2:$AM$135,3,FALSE), "")</f>
        <v/>
      </c>
      <c r="C25" s="11">
        <f>IFERROR(VLOOKUP(A25&amp;$AJ$2,Data!$A$2:$AM$135,4,FALSE), "")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>
        <f>COUNTIF(D25:AH25,"S")</f>
        <v/>
      </c>
      <c r="AM25" s="8">
        <f>COUNTIF(D25:AH25,"I")</f>
        <v/>
      </c>
      <c r="AN25" s="8">
        <f>COUNTIF(D25:AH25,"A")</f>
        <v/>
      </c>
      <c r="AO25" s="8">
        <f>SUM(AL25:AN25)</f>
        <v/>
      </c>
    </row>
    <row r="26" ht="12" customHeight="1" s="35">
      <c r="A26" s="9" t="n">
        <v>20</v>
      </c>
      <c r="B26" s="10">
        <f>IFERROR(VLOOKUP(A26&amp;$AJ$2,Data!$A$2:$AM$135,3,FALSE), "")</f>
        <v/>
      </c>
      <c r="C26" s="11">
        <f>IFERROR(VLOOKUP(A26&amp;$AJ$2,Data!$A$2:$AM$135,4,FALSE), "")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>
        <f>COUNTIF(D26:AH26,"S")</f>
        <v/>
      </c>
      <c r="AM26" s="8">
        <f>COUNTIF(D26:AH26,"I")</f>
        <v/>
      </c>
      <c r="AN26" s="8">
        <f>COUNTIF(D26:AH26,"A")</f>
        <v/>
      </c>
      <c r="AO26" s="8">
        <f>SUM(AL26:AN26)</f>
        <v/>
      </c>
    </row>
    <row r="27" ht="12" customHeight="1" s="35">
      <c r="A27" s="9" t="n">
        <v>21</v>
      </c>
      <c r="B27" s="10">
        <f>IFERROR(VLOOKUP(A27&amp;$AJ$2,Data!$A$2:$AM$135,3,FALSE), "")</f>
        <v/>
      </c>
      <c r="C27" s="11">
        <f>IFERROR(VLOOKUP(A27&amp;$AJ$2,Data!$A$2:$AM$135,4,FALSE), "")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S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>
        <f>COUNTIF(D27:AH27,"S")</f>
        <v/>
      </c>
      <c r="AM27" s="8">
        <f>COUNTIF(D27:AH27,"I")</f>
        <v/>
      </c>
      <c r="AN27" s="8">
        <f>COUNTIF(D27:AH27,"A")</f>
        <v/>
      </c>
      <c r="AO27" s="8">
        <f>SUM(AL27:AN27)</f>
        <v/>
      </c>
    </row>
    <row r="28" ht="12" customHeight="1" s="35">
      <c r="A28" s="9" t="n">
        <v>22</v>
      </c>
      <c r="B28" s="10">
        <f>IFERROR(VLOOKUP(A28&amp;$AJ$2,Data!$A$2:$AM$135,3,FALSE), "")</f>
        <v/>
      </c>
      <c r="C28" s="11">
        <f>IFERROR(VLOOKUP(A28&amp;$AJ$2,Data!$A$2:$AM$135,4,FALSE), "")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inlineStr">
        <is>
          <t>S</t>
        </is>
      </c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>
        <f>COUNTIF(D28:AH28,"S")</f>
        <v/>
      </c>
      <c r="AM28" s="8">
        <f>COUNTIF(D28:AH28,"I")</f>
        <v/>
      </c>
      <c r="AN28" s="8">
        <f>COUNTIF(D28:AH28,"A")</f>
        <v/>
      </c>
      <c r="AO28" s="8">
        <f>SUM(AL28:AN28)</f>
        <v/>
      </c>
    </row>
    <row r="29" ht="12" customHeight="1" s="35">
      <c r="A29" s="9" t="n">
        <v>23</v>
      </c>
      <c r="B29" s="10">
        <f>IFERROR(VLOOKUP(A29&amp;$AJ$2,Data!$A$2:$AM$135,3,FALSE), "")</f>
        <v/>
      </c>
      <c r="C29" s="11">
        <f>IFERROR(VLOOKUP(A29&amp;$AJ$2,Data!$A$2:$AM$135,4,FALSE), "")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>
        <f>COUNTIF(D29:AH29,"S")</f>
        <v/>
      </c>
      <c r="AM29" s="8">
        <f>COUNTIF(D29:AH29,"I")</f>
        <v/>
      </c>
      <c r="AN29" s="8">
        <f>COUNTIF(D29:AH29,"A")</f>
        <v/>
      </c>
      <c r="AO29" s="8">
        <f>SUM(AL29:AN29)</f>
        <v/>
      </c>
    </row>
    <row r="30" ht="12" customHeight="1" s="35">
      <c r="A30" s="9" t="n">
        <v>24</v>
      </c>
      <c r="B30" s="10">
        <f>IFERROR(VLOOKUP(A30&amp;$AJ$2,Data!$A$2:$AM$135,3,FALSE), "")</f>
        <v/>
      </c>
      <c r="C30" s="11">
        <f>IFERROR(VLOOKUP(A30&amp;$AJ$2,Data!$A$2:$AM$135,4,FALSE), "")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>
        <f>COUNTIF(D30:AH30,"S")</f>
        <v/>
      </c>
      <c r="AM30" s="8">
        <f>COUNTIF(D30:AH30,"I")</f>
        <v/>
      </c>
      <c r="AN30" s="8">
        <f>COUNTIF(D30:AH30,"A")</f>
        <v/>
      </c>
      <c r="AO30" s="8">
        <f>SUM(AL30:AN30)</f>
        <v/>
      </c>
    </row>
    <row r="31" ht="12" customHeight="1" s="35">
      <c r="A31" s="9" t="n">
        <v>25</v>
      </c>
      <c r="B31" s="10">
        <f>IFERROR(VLOOKUP(A31&amp;$AJ$2,Data!$A$2:$AM$135,3,FALSE), "")</f>
        <v/>
      </c>
      <c r="C31" s="11">
        <f>IFERROR(VLOOKUP(A31&amp;$AJ$2,Data!$A$2:$AM$135,4,FALSE), "")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inlineStr">
        <is>
          <t>S</t>
        </is>
      </c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>
        <f>COUNTIF(D31:AH31,"S")</f>
        <v/>
      </c>
      <c r="AM31" s="8">
        <f>COUNTIF(D31:AH31,"I")</f>
        <v/>
      </c>
      <c r="AN31" s="8">
        <f>COUNTIF(D31:AH31,"A")</f>
        <v/>
      </c>
      <c r="AO31" s="8">
        <f>SUM(AL31:AN31)</f>
        <v/>
      </c>
    </row>
    <row r="32" ht="12" customHeight="1" s="35">
      <c r="A32" s="9" t="n">
        <v>26</v>
      </c>
      <c r="B32" s="10">
        <f>IFERROR(VLOOKUP(A32&amp;$AJ$2,Data!$A$2:$AM$135,3,FALSE), "")</f>
        <v/>
      </c>
      <c r="C32" s="11">
        <f>IFERROR(VLOOKUP(A32&amp;$AJ$2,Data!$A$2:$AM$135,4,FALSE), "")</f>
        <v/>
      </c>
      <c r="D32" s="8" t="inlineStr">
        <is>
          <t>S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>
        <f>COUNTIF(D32:AH32,"S")</f>
        <v/>
      </c>
      <c r="AM32" s="8">
        <f>COUNTIF(D32:AH32,"I")</f>
        <v/>
      </c>
      <c r="AN32" s="8">
        <f>COUNTIF(D32:AH32,"A")</f>
        <v/>
      </c>
      <c r="AO32" s="8">
        <f>SUM(AL32:AN32)</f>
        <v/>
      </c>
    </row>
    <row r="33" ht="12" customHeight="1" s="35">
      <c r="A33" s="9" t="n">
        <v>27</v>
      </c>
      <c r="B33" s="10">
        <f>IFERROR(VLOOKUP(A33&amp;$AJ$2,Data!$A$2:$AM$135,3,FALSE), "")</f>
        <v/>
      </c>
      <c r="C33" s="11">
        <f>IFERROR(VLOOKUP(A33&amp;$AJ$2,Data!$A$2:$AM$135,4,FALSE), "")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>
        <f>COUNTIF(D33:AH33,"S")</f>
        <v/>
      </c>
      <c r="AM33" s="8">
        <f>COUNTIF(D33:AH33,"I")</f>
        <v/>
      </c>
      <c r="AN33" s="8">
        <f>COUNTIF(D33:AH33,"A")</f>
        <v/>
      </c>
      <c r="AO33" s="8">
        <f>SUM(AL33:AN33)</f>
        <v/>
      </c>
    </row>
    <row r="34" ht="12" customHeight="1" s="35">
      <c r="A34" s="9" t="n">
        <v>28</v>
      </c>
      <c r="B34" s="10">
        <f>IFERROR(VLOOKUP(A34&amp;$AJ$2,Data!$A$2:$AM$135,3,FALSE), "")</f>
        <v/>
      </c>
      <c r="C34" s="11">
        <f>IFERROR(VLOOKUP(A34&amp;$AJ$2,Data!$A$2:$AM$135,4,FALSE), "")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inlineStr">
        <is>
          <t>S</t>
        </is>
      </c>
      <c r="S34" s="8" t="inlineStr">
        <is>
          <t>S</t>
        </is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>
        <f>COUNTIF(D34:AH34,"S")</f>
        <v/>
      </c>
      <c r="AM34" s="8">
        <f>COUNTIF(D34:AH34,"I")</f>
        <v/>
      </c>
      <c r="AN34" s="8">
        <f>COUNTIF(D34:AH34,"A")</f>
        <v/>
      </c>
      <c r="AO34" s="8">
        <f>SUM(AL34:AN34)</f>
        <v/>
      </c>
    </row>
    <row r="35" ht="12" customHeight="1" s="35">
      <c r="A35" s="9" t="n">
        <v>29</v>
      </c>
      <c r="B35" s="10">
        <f>IFERROR(VLOOKUP(A35&amp;$AJ$2,Data!$A$2:$AM$135,3,FALSE), "")</f>
        <v/>
      </c>
      <c r="C35" s="11">
        <f>IFERROR(VLOOKUP(A35&amp;$AJ$2,Data!$A$2:$AM$135,4,FALSE), "")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>
        <f>COUNTIF(D35:AH35,"S")</f>
        <v/>
      </c>
      <c r="AM35" s="8">
        <f>COUNTIF(D35:AH35,"I")</f>
        <v/>
      </c>
      <c r="AN35" s="8">
        <f>COUNTIF(D35:AH35,"A")</f>
        <v/>
      </c>
      <c r="AO35" s="8">
        <f>SUM(AL35:AN35)</f>
        <v/>
      </c>
    </row>
    <row r="36" ht="12" customHeight="1" s="35">
      <c r="A36" s="9" t="n">
        <v>30</v>
      </c>
      <c r="B36" s="10">
        <f>IFERROR(VLOOKUP(A36&amp;$AJ$2,Data!$A$2:$AM$135,3,FALSE), "")</f>
        <v/>
      </c>
      <c r="C36" s="11">
        <f>IFERROR(VLOOKUP(A36&amp;$AJ$2,Data!$A$2:$AM$135,4,FALSE), "")</f>
        <v/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>
        <f>COUNTIF(D36:AH36,"S")</f>
        <v/>
      </c>
      <c r="AM36" s="8">
        <f>COUNTIF(D36:AH36,"I")</f>
        <v/>
      </c>
      <c r="AN36" s="8">
        <f>COUNTIF(D36:AH36,"A")</f>
        <v/>
      </c>
      <c r="AO36" s="8">
        <f>SUM(AL36:AN36)</f>
        <v/>
      </c>
    </row>
    <row r="37" ht="12" customHeight="1" s="35">
      <c r="A37" s="9" t="n">
        <v>31</v>
      </c>
      <c r="B37" s="10">
        <f>IFERROR(VLOOKUP(A37&amp;$AJ$2,Data!$A$2:$AM$135,3,FALSE), "")</f>
        <v/>
      </c>
      <c r="C37" s="11">
        <f>IFERROR(VLOOKUP(A37&amp;$AJ$2,Data!$A$2:$AM$135,4,FALSE), "")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S</t>
        </is>
      </c>
      <c r="Q37" s="8" t="inlineStr">
        <is>
          <t>S</t>
        </is>
      </c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>
        <f>COUNTIF(D37:AH37,"S")</f>
        <v/>
      </c>
      <c r="AM37" s="8">
        <f>COUNTIF(D37:AH37,"I")</f>
        <v/>
      </c>
      <c r="AN37" s="8">
        <f>COUNTIF(D37:AH37,"A")</f>
        <v/>
      </c>
      <c r="AO37" s="8">
        <f>SUM(AL37:AN37)</f>
        <v/>
      </c>
    </row>
    <row r="38" ht="12" customHeight="1" s="35">
      <c r="A38" s="9" t="n">
        <v>32</v>
      </c>
      <c r="B38" s="10">
        <f>IFERROR(VLOOKUP(A38&amp;$AJ$2,Data!$A$2:$AM$135,3,FALSE), "")</f>
        <v/>
      </c>
      <c r="C38" s="11">
        <f>IFERROR(VLOOKUP(A38&amp;$AJ$2,Data!$A$2:$AM$135,4,FALSE), "")</f>
        <v/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S</t>
        </is>
      </c>
      <c r="Q38" s="8" t="inlineStr">
        <is>
          <t>S</t>
        </is>
      </c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>
        <f>COUNTIF(D38:AH38,"S")</f>
        <v/>
      </c>
      <c r="AM38" s="8">
        <f>COUNTIF(D38:AH38,"I")</f>
        <v/>
      </c>
      <c r="AN38" s="8">
        <f>COUNTIF(D38:AH38,"A")</f>
        <v/>
      </c>
      <c r="AO38" s="8">
        <f>SUM(AL38:AN38)</f>
        <v/>
      </c>
    </row>
    <row r="39" ht="12" customHeight="1" s="35">
      <c r="A39" s="9" t="n">
        <v>33</v>
      </c>
      <c r="B39" s="10">
        <f>IFERROR(VLOOKUP(A39&amp;$AJ$2,Data!$A$2:$AM$135,3,FALSE), "")</f>
        <v/>
      </c>
      <c r="C39" s="11">
        <f>IFERROR(VLOOKUP(A39&amp;$AJ$2,Data!$A$2:$AM$135,4,FALSE), "")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>
        <f>COUNTIF(D39:AH39,"S")</f>
        <v/>
      </c>
      <c r="AM39" s="8">
        <f>COUNTIF(D39:AH39,"I")</f>
        <v/>
      </c>
      <c r="AN39" s="8">
        <f>COUNTIF(D39:AH39,"A")</f>
        <v/>
      </c>
      <c r="AO39" s="8">
        <f>SUM(AL39:AN39)</f>
        <v/>
      </c>
    </row>
    <row r="40" ht="12" customHeight="1" s="35">
      <c r="A40" s="9" t="n">
        <v>34</v>
      </c>
      <c r="B40" s="10">
        <f>IFERROR(VLOOKUP(A40&amp;$AJ$2,Data!$A$2:$AM$135,3,FALSE), "")</f>
        <v/>
      </c>
      <c r="C40" s="11">
        <f>IFERROR(VLOOKUP(A40&amp;$AJ$2,Data!$A$2:$AM$135,4,FALSE), "")</f>
        <v/>
      </c>
      <c r="D40" s="8" t="inlineStr">
        <is>
          <t>I</t>
        </is>
      </c>
      <c r="E40" s="8" t="inlineStr">
        <is>
          <t>A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inlineStr">
        <is>
          <t>S</t>
        </is>
      </c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>
        <f>COUNTIF(D40:AH40,"S")</f>
        <v/>
      </c>
      <c r="AM40" s="8">
        <f>COUNTIF(D40:AH40,"I")</f>
        <v/>
      </c>
      <c r="AN40" s="8">
        <f>COUNTIF(D40:AH40,"A")</f>
        <v/>
      </c>
      <c r="AO40" s="8">
        <f>SUM(AL40:AN40)</f>
        <v/>
      </c>
    </row>
    <row r="41" ht="12" customHeight="1" s="35">
      <c r="A41" s="9" t="n">
        <v>35</v>
      </c>
      <c r="B41" s="10">
        <f>IFERROR(VLOOKUP(A41&amp;$AJ$2,Data!$A$2:$AM$135,3,FALSE), "")</f>
        <v/>
      </c>
      <c r="C41" s="11">
        <f>IFERROR(VLOOKUP(A41&amp;$AJ$2,Data!$A$2:$AM$135,4,FALSE), "")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>
        <f>COUNTIF(D41:AH41,"S")</f>
        <v/>
      </c>
      <c r="AM41" s="8">
        <f>COUNTIF(D41:AH41,"I")</f>
        <v/>
      </c>
      <c r="AN41" s="8">
        <f>COUNTIF(D41:AH41,"A")</f>
        <v/>
      </c>
      <c r="AO41" s="8">
        <f>SUM(AL41:AN41)</f>
        <v/>
      </c>
    </row>
    <row r="42" ht="12" customHeight="1" s="35">
      <c r="A42" s="9" t="n">
        <v>36</v>
      </c>
      <c r="B42" s="10">
        <f>IFERROR(VLOOKUP(A42&amp;$AJ$2,Data!$A$2:$AM$135,3,FALSE), "")</f>
        <v/>
      </c>
      <c r="C42" s="11">
        <f>IFERROR(VLOOKUP(A42&amp;$AJ$2,Data!$A$2:$AM$135,4,FALSE), "")</f>
        <v/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>
        <f>COUNTIF(D42:AH42,"S")</f>
        <v/>
      </c>
      <c r="AM42" s="8">
        <f>COUNTIF(D42:AH42,"I")</f>
        <v/>
      </c>
      <c r="AN42" s="8">
        <f>COUNTIF(D42:AH42,"A")</f>
        <v/>
      </c>
      <c r="AO42" s="8">
        <f>SUM(AL42:AN42)</f>
        <v/>
      </c>
    </row>
    <row r="43" ht="14.25" customHeight="1" s="35">
      <c r="A43" s="9" t="n">
        <v>37</v>
      </c>
      <c r="B43" s="10">
        <f>IFERROR(VLOOKUP(A43&amp;$AJ$2,Data!$A$2:$AM$135,3,FALSE), "")</f>
        <v/>
      </c>
      <c r="C43" s="11">
        <f>IFERROR(VLOOKUP(A43&amp;$AJ$2,Data!$A$2:$AM$135,4,FALSE), "")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>
        <f>COUNTIF(D43:AH43,"S")</f>
        <v/>
      </c>
      <c r="AM43" s="8">
        <f>COUNTIF(D43:AH43,"I")</f>
        <v/>
      </c>
      <c r="AN43" s="8">
        <f>COUNTIF(D43:AH43,"A")</f>
        <v/>
      </c>
      <c r="AO43" s="8">
        <f>SUM(AL43:AN43)</f>
        <v/>
      </c>
    </row>
    <row r="44" ht="14.25" customHeight="1" s="35">
      <c r="A44" s="9" t="n">
        <v>38</v>
      </c>
      <c r="B44" s="10">
        <f>IFERROR(VLOOKUP(A44&amp;$AJ$2,Data!$A$2:$AM$135,3,FALSE), "")</f>
        <v/>
      </c>
      <c r="C44" s="11">
        <f>IFERROR(VLOOKUP(A44&amp;$AJ$2,Data!$A$2:$AM$135,4,FALSE), "")</f>
        <v/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>
        <f>COUNTIF(D44:AH44,"S")</f>
        <v/>
      </c>
      <c r="AM44" s="8">
        <f>COUNTIF(D44:AH44,"I")</f>
        <v/>
      </c>
      <c r="AN44" s="8">
        <f>COUNTIF(D44:AH44,"A")</f>
        <v/>
      </c>
      <c r="AO44" s="8">
        <f>SUM(AL44:AN44)</f>
        <v/>
      </c>
    </row>
    <row r="45" ht="14.25" customHeight="1" s="35">
      <c r="A45" s="9" t="n">
        <v>39</v>
      </c>
      <c r="B45" s="10">
        <f>IFERROR(VLOOKUP(A45&amp;$AJ$2,Data!$A$2:$AM$135,3,FALSE), "")</f>
        <v/>
      </c>
      <c r="C45" s="11">
        <f>IFERROR(VLOOKUP(A45&amp;$AJ$2,Data!$A$2:$AM$135,4,FALSE), "")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>
        <f>COUNTIF(D45:AH45,"S")</f>
        <v/>
      </c>
      <c r="AM45" s="8">
        <f>COUNTIF(D45:AH45,"I")</f>
        <v/>
      </c>
      <c r="AN45" s="8">
        <f>COUNTIF(D45:AH45,"A")</f>
        <v/>
      </c>
      <c r="AO45" s="8">
        <f>SUM(AL45:AN45)</f>
        <v/>
      </c>
    </row>
    <row r="46" ht="14.25" customHeight="1" s="35">
      <c r="A46" s="9" t="n">
        <v>40</v>
      </c>
      <c r="B46" s="10">
        <f>IFERROR(VLOOKUP(A46&amp;$AJ$2,Data!$A$2:$AM$131,3,FALSE), "")</f>
        <v/>
      </c>
      <c r="C46" s="11">
        <f>IFERROR(VLOOKUP(A46&amp;$AJ$2,Data!$A$2:$AM$131,4,FALSE), "")</f>
        <v/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>
        <f>COUNTIF(D46:AH46,"S")</f>
        <v/>
      </c>
      <c r="AM46" s="8">
        <f>COUNTIF(D46:AH46,"I")</f>
        <v/>
      </c>
      <c r="AN46" s="8">
        <f>COUNTIF(D46:AH46,"A")</f>
        <v/>
      </c>
      <c r="AO46" s="8">
        <f>SUM(AL46:AN46)</f>
        <v/>
      </c>
    </row>
    <row r="47" ht="14.25" customHeight="1" s="35"/>
    <row r="48" ht="14.25" customHeight="1" s="35"/>
    <row r="49" ht="14.25" customHeight="1" s="35">
      <c r="C49" s="3" t="inlineStr">
        <is>
          <t>S</t>
        </is>
      </c>
      <c r="D49" s="15">
        <f>COUNTIF(D7:D47,"S")</f>
        <v/>
      </c>
      <c r="E49" s="15">
        <f>COUNTIF(E7:E47,"S")</f>
        <v/>
      </c>
      <c r="F49" s="15">
        <f>COUNTIF(F7:F47,"S")</f>
        <v/>
      </c>
      <c r="G49" s="15">
        <f>COUNTIF(G7:G47,"S")</f>
        <v/>
      </c>
      <c r="H49" s="15">
        <f>COUNTIF(H7:H47,"S")</f>
        <v/>
      </c>
      <c r="I49" s="15">
        <f>COUNTIF(I7:I47,"S")</f>
        <v/>
      </c>
      <c r="J49" s="15">
        <f>COUNTIF(J7:J47,"S")</f>
        <v/>
      </c>
      <c r="K49" s="15">
        <f>COUNTIF(K7:K47,"S")</f>
        <v/>
      </c>
      <c r="L49" s="15">
        <f>COUNTIF(L7:L47,"S")</f>
        <v/>
      </c>
      <c r="M49" s="15">
        <f>COUNTIF(M7:M47,"S")</f>
        <v/>
      </c>
      <c r="N49" s="15">
        <f>COUNTIF(N7:N47,"S")</f>
        <v/>
      </c>
      <c r="O49" s="15">
        <f>COUNTIF(O7:O47,"S")</f>
        <v/>
      </c>
      <c r="P49" s="15">
        <f>COUNTIF(P7:P47,"S")</f>
        <v/>
      </c>
      <c r="Q49" s="15">
        <f>COUNTIF(Q7:Q47,"S")</f>
        <v/>
      </c>
      <c r="R49" s="15">
        <f>COUNTIF(R7:R47,"S")</f>
        <v/>
      </c>
      <c r="S49" s="15">
        <f>COUNTIF(S7:S47,"S")</f>
        <v/>
      </c>
      <c r="T49" s="15">
        <f>COUNTIF(T7:T47,"S")</f>
        <v/>
      </c>
      <c r="U49" s="15">
        <f>COUNTIF(U7:U47,"S")</f>
        <v/>
      </c>
      <c r="V49" s="15">
        <f>COUNTIF(V7:V47,"S")</f>
        <v/>
      </c>
      <c r="W49" s="15">
        <f>COUNTIF(W7:W47,"S")</f>
        <v/>
      </c>
      <c r="X49" s="15">
        <f>COUNTIF(X7:X47,"S")</f>
        <v/>
      </c>
      <c r="Y49" s="15">
        <f>COUNTIF(Y7:Y47,"S")</f>
        <v/>
      </c>
      <c r="Z49" s="15">
        <f>COUNTIF(Z7:Z47,"S")</f>
        <v/>
      </c>
      <c r="AA49" s="15">
        <f>COUNTIF(AA7:AA47,"S")</f>
        <v/>
      </c>
      <c r="AB49" s="15">
        <f>COUNTIF(AB7:AB47,"S")</f>
        <v/>
      </c>
      <c r="AC49" s="15">
        <f>COUNTIF(AC7:AC47,"S")</f>
        <v/>
      </c>
      <c r="AD49" s="15">
        <f>COUNTIF(AD7:AD47,"S")</f>
        <v/>
      </c>
      <c r="AE49" s="15">
        <f>COUNTIF(AE7:AE47,"S")</f>
        <v/>
      </c>
      <c r="AF49" s="15">
        <f>COUNTIF(AF7:AF47,"S")</f>
        <v/>
      </c>
      <c r="AG49" s="15">
        <f>COUNTIF(AG7:AG47,"S")</f>
        <v/>
      </c>
      <c r="AH49" s="15">
        <f>COUNTIF(AH7:AH47,"S")</f>
        <v/>
      </c>
    </row>
    <row r="50" ht="14.25" customHeight="1" s="35">
      <c r="C50" s="3" t="inlineStr">
        <is>
          <t>I</t>
        </is>
      </c>
      <c r="D50" s="15">
        <f>COUNTIF(D7:D47,"I")</f>
        <v/>
      </c>
      <c r="E50" s="15">
        <f>COUNTIF(E7:E47,"I")</f>
        <v/>
      </c>
      <c r="F50" s="15">
        <f>COUNTIF(F7:F47,"I")</f>
        <v/>
      </c>
      <c r="G50" s="15">
        <f>COUNTIF(G7:G47,"I")</f>
        <v/>
      </c>
      <c r="H50" s="15">
        <f>COUNTIF(H7:H47,"I")</f>
        <v/>
      </c>
      <c r="I50" s="15">
        <f>COUNTIF(I7:I47,"I")</f>
        <v/>
      </c>
      <c r="J50" s="15">
        <f>COUNTIF(J7:J47,"I")</f>
        <v/>
      </c>
      <c r="K50" s="15">
        <f>COUNTIF(K7:K47,"I")</f>
        <v/>
      </c>
      <c r="L50" s="15">
        <f>COUNTIF(L7:L47,"I")</f>
        <v/>
      </c>
      <c r="M50" s="15">
        <f>COUNTIF(M7:M47,"I")</f>
        <v/>
      </c>
      <c r="N50" s="15">
        <f>COUNTIF(N7:N47,"I")</f>
        <v/>
      </c>
      <c r="O50" s="15">
        <f>COUNTIF(O7:O47,"I")</f>
        <v/>
      </c>
      <c r="P50" s="15">
        <f>COUNTIF(P7:P47,"I")</f>
        <v/>
      </c>
      <c r="Q50" s="15">
        <f>COUNTIF(Q7:Q47,"I")</f>
        <v/>
      </c>
      <c r="R50" s="15">
        <f>COUNTIF(R7:R47,"I")</f>
        <v/>
      </c>
      <c r="S50" s="15">
        <f>COUNTIF(S7:S47,"I")</f>
        <v/>
      </c>
      <c r="T50" s="15">
        <f>COUNTIF(T7:T47,"I")</f>
        <v/>
      </c>
      <c r="U50" s="15">
        <f>COUNTIF(U7:U47,"I")</f>
        <v/>
      </c>
      <c r="V50" s="15">
        <f>COUNTIF(V7:V47,"I")</f>
        <v/>
      </c>
      <c r="W50" s="15">
        <f>COUNTIF(W7:W47,"I")</f>
        <v/>
      </c>
      <c r="X50" s="15">
        <f>COUNTIF(X7:X47,"I")</f>
        <v/>
      </c>
      <c r="Y50" s="15">
        <f>COUNTIF(Y7:Y47,"I")</f>
        <v/>
      </c>
      <c r="Z50" s="15">
        <f>COUNTIF(Z7:Z47,"I")</f>
        <v/>
      </c>
      <c r="AA50" s="15">
        <f>COUNTIF(AA7:AA47,"I")</f>
        <v/>
      </c>
      <c r="AB50" s="15">
        <f>COUNTIF(AB7:AB47,"I")</f>
        <v/>
      </c>
      <c r="AC50" s="15">
        <f>COUNTIF(AC7:AC47,"I")</f>
        <v/>
      </c>
      <c r="AD50" s="15">
        <f>COUNTIF(AD7:AD47,"I")</f>
        <v/>
      </c>
      <c r="AE50" s="15">
        <f>COUNTIF(AE7:AE47,"I")</f>
        <v/>
      </c>
      <c r="AF50" s="15">
        <f>COUNTIF(AF7:AF47,"I")</f>
        <v/>
      </c>
      <c r="AG50" s="15">
        <f>COUNTIF(AG7:AG47,"I")</f>
        <v/>
      </c>
      <c r="AH50" s="15">
        <f>COUNTIF(AH7:AH47,"I")</f>
        <v/>
      </c>
    </row>
    <row r="51" ht="14.25" customHeight="1" s="35">
      <c r="C51" s="3" t="inlineStr">
        <is>
          <t>A</t>
        </is>
      </c>
      <c r="D51" s="15">
        <f>COUNTIF(D7:D47,"A")</f>
        <v/>
      </c>
      <c r="E51" s="15">
        <f>COUNTIF(E7:E47,"A")</f>
        <v/>
      </c>
      <c r="F51" s="15">
        <f>COUNTIF(F7:F47,"A")</f>
        <v/>
      </c>
      <c r="G51" s="15">
        <f>COUNTIF(G7:G47,"A")</f>
        <v/>
      </c>
      <c r="H51" s="15">
        <f>COUNTIF(H7:H47,"A")</f>
        <v/>
      </c>
      <c r="I51" s="15">
        <f>COUNTIF(I7:I47,"A")</f>
        <v/>
      </c>
      <c r="J51" s="15">
        <f>COUNTIF(J7:J47,"A")</f>
        <v/>
      </c>
      <c r="K51" s="15">
        <f>COUNTIF(K7:K47,"A")</f>
        <v/>
      </c>
      <c r="L51" s="15">
        <f>COUNTIF(L7:L47,"A")</f>
        <v/>
      </c>
      <c r="M51" s="15">
        <f>COUNTIF(M7:M47,"A")</f>
        <v/>
      </c>
      <c r="N51" s="15">
        <f>COUNTIF(N7:N47,"A")</f>
        <v/>
      </c>
      <c r="O51" s="15">
        <f>COUNTIF(O7:O47,"A")</f>
        <v/>
      </c>
      <c r="P51" s="15">
        <f>COUNTIF(P7:P47,"A")</f>
        <v/>
      </c>
      <c r="Q51" s="15">
        <f>COUNTIF(Q7:Q47,"A")</f>
        <v/>
      </c>
      <c r="R51" s="15">
        <f>COUNTIF(R7:R47,"A")</f>
        <v/>
      </c>
      <c r="S51" s="15">
        <f>COUNTIF(S7:S47,"A")</f>
        <v/>
      </c>
      <c r="T51" s="15">
        <f>COUNTIF(T7:T47,"A")</f>
        <v/>
      </c>
      <c r="U51" s="15">
        <f>COUNTIF(U7:U47,"A")</f>
        <v/>
      </c>
      <c r="V51" s="15">
        <f>COUNTIF(V7:V47,"A")</f>
        <v/>
      </c>
      <c r="W51" s="15">
        <f>COUNTIF(W7:W47,"A")</f>
        <v/>
      </c>
      <c r="X51" s="15">
        <f>COUNTIF(X7:X47,"A")</f>
        <v/>
      </c>
      <c r="Y51" s="15">
        <f>COUNTIF(Y7:Y47,"A")</f>
        <v/>
      </c>
      <c r="Z51" s="15">
        <f>COUNTIF(Z7:Z47,"A")</f>
        <v/>
      </c>
      <c r="AA51" s="15">
        <f>COUNTIF(AA7:AA47,"A")</f>
        <v/>
      </c>
      <c r="AB51" s="15">
        <f>COUNTIF(AB7:AB47,"A")</f>
        <v/>
      </c>
      <c r="AC51" s="15">
        <f>COUNTIF(AC7:AC47,"A")</f>
        <v/>
      </c>
      <c r="AD51" s="15">
        <f>COUNTIF(AD7:AD47,"A")</f>
        <v/>
      </c>
      <c r="AE51" s="15">
        <f>COUNTIF(AE7:AE47,"A")</f>
        <v/>
      </c>
      <c r="AF51" s="15">
        <f>COUNTIF(AF7:AF47,"A")</f>
        <v/>
      </c>
      <c r="AG51" s="15">
        <f>COUNTIF(AG7:AG47,"A")</f>
        <v/>
      </c>
      <c r="AH51" s="15">
        <f>COUNTIF(AH7:AH47,"A")</f>
        <v/>
      </c>
    </row>
    <row r="52" ht="14.25" customHeight="1" s="35"/>
    <row r="53" ht="14.25" customHeight="1" s="35"/>
    <row r="54" ht="14.25" customHeight="1" s="35"/>
    <row r="55" ht="14.25" customHeight="1" s="35"/>
    <row r="56" ht="14.25" customHeight="1" s="35"/>
    <row r="57" ht="14.25" customHeight="1" s="35"/>
    <row r="58" ht="14.25" customHeight="1" s="35"/>
    <row r="59" ht="14.25" customHeight="1" s="35"/>
    <row r="60" ht="14.25" customHeight="1" s="35"/>
    <row r="61" ht="14.25" customHeight="1" s="35"/>
    <row r="62" ht="14.25" customHeight="1" s="35"/>
    <row r="63" ht="14.25" customHeight="1" s="35"/>
    <row r="64" ht="14.25" customHeight="1" s="35"/>
    <row r="65" ht="14.25" customHeight="1" s="35"/>
    <row r="66" ht="14.25" customHeight="1" s="35"/>
    <row r="67" ht="14.25" customHeight="1" s="35"/>
    <row r="68" ht="14.25" customHeight="1" s="35"/>
    <row r="69" ht="14.25" customHeight="1" s="35"/>
    <row r="70" ht="14.25" customHeight="1" s="35"/>
    <row r="71" ht="14.25" customHeight="1" s="35"/>
    <row r="72" ht="14.25" customHeight="1" s="35"/>
    <row r="73" ht="14.25" customHeight="1" s="35"/>
    <row r="74" ht="14.25" customHeight="1" s="35"/>
    <row r="75" ht="14.25" customHeight="1" s="35"/>
    <row r="76" ht="14.25" customHeight="1" s="35"/>
    <row r="77" ht="14.25" customHeight="1" s="35"/>
    <row r="78" ht="14.25" customHeight="1" s="35"/>
    <row r="79" ht="14.25" customHeight="1" s="35"/>
    <row r="80" ht="14.25" customHeight="1" s="35"/>
    <row r="81" ht="14.25" customHeight="1" s="35"/>
    <row r="82" ht="14.25" customHeight="1" s="35"/>
    <row r="83" ht="14.25" customHeight="1" s="35"/>
    <row r="84" ht="14.25" customHeight="1" s="35"/>
    <row r="85" ht="14.25" customHeight="1" s="35"/>
    <row r="86" ht="14.25" customHeight="1" s="35"/>
    <row r="87" ht="14.25" customHeight="1" s="35"/>
    <row r="88" ht="14.25" customHeight="1" s="35"/>
    <row r="89" ht="14.25" customHeight="1" s="35"/>
    <row r="90" ht="14.25" customHeight="1" s="35"/>
    <row r="91" ht="14.25" customHeight="1" s="35"/>
    <row r="92" ht="14.25" customHeight="1" s="35"/>
    <row r="93" ht="14.25" customHeight="1" s="35"/>
    <row r="94" ht="14.25" customHeight="1" s="35"/>
    <row r="95" ht="14.25" customHeight="1" s="35"/>
    <row r="96" ht="14.25" customHeight="1" s="35"/>
    <row r="97" ht="14.25" customHeight="1" s="35"/>
    <row r="98" ht="14.25" customHeight="1" s="35"/>
    <row r="99" ht="14.25" customHeight="1" s="35"/>
    <row r="100" ht="14.25" customHeight="1" s="35"/>
    <row r="101" ht="14.25" customHeight="1" s="35"/>
    <row r="102" ht="14.25" customHeight="1" s="35"/>
    <row r="103" ht="14.25" customHeight="1" s="35"/>
    <row r="104" ht="14.25" customHeight="1" s="35"/>
    <row r="105" ht="14.25" customHeight="1" s="35"/>
    <row r="106" ht="14.25" customHeight="1" s="35"/>
    <row r="107" ht="14.25" customHeight="1" s="35"/>
    <row r="108" ht="14.25" customHeight="1" s="35"/>
    <row r="109" ht="14.25" customHeight="1" s="35"/>
    <row r="110" ht="14.25" customHeight="1" s="35"/>
    <row r="111" ht="14.25" customHeight="1" s="35"/>
    <row r="112" ht="14.25" customHeight="1" s="35"/>
    <row r="113" ht="14.25" customHeight="1" s="35"/>
    <row r="114" ht="14.25" customHeight="1" s="35"/>
    <row r="115" ht="14.25" customHeight="1" s="35"/>
    <row r="116" ht="14.25" customHeight="1" s="35"/>
    <row r="117" ht="14.25" customHeight="1" s="35"/>
    <row r="118" ht="14.25" customHeight="1" s="35"/>
    <row r="119" ht="14.25" customHeight="1" s="35"/>
    <row r="120" ht="14.25" customHeight="1" s="35"/>
    <row r="121" ht="14.25" customHeight="1" s="35"/>
    <row r="122" ht="14.25" customHeight="1" s="35"/>
    <row r="123" ht="14.25" customHeight="1" s="35"/>
    <row r="124" ht="14.25" customHeight="1" s="35"/>
    <row r="125" ht="14.25" customHeight="1" s="35"/>
    <row r="126" ht="14.25" customHeight="1" s="35"/>
    <row r="127" ht="14.25" customHeight="1" s="35"/>
    <row r="128" ht="14.25" customHeight="1" s="35"/>
    <row r="129" ht="14.25" customHeight="1" s="35"/>
    <row r="130" ht="14.25" customHeight="1" s="35"/>
    <row r="131" ht="14.25" customHeight="1" s="35"/>
    <row r="132" ht="14.25" customHeight="1" s="35"/>
    <row r="133" ht="14.25" customHeight="1" s="35"/>
    <row r="134" ht="14.25" customHeight="1" s="35"/>
    <row r="135" ht="14.25" customHeight="1" s="35"/>
    <row r="136" ht="14.25" customHeight="1" s="35"/>
    <row r="137" ht="14.25" customHeight="1" s="35"/>
    <row r="138" ht="14.25" customHeight="1" s="35"/>
    <row r="139" ht="14.25" customHeight="1" s="35"/>
    <row r="140" ht="14.25" customHeight="1" s="35"/>
    <row r="141" ht="14.25" customHeight="1" s="35"/>
    <row r="142" ht="14.25" customHeight="1" s="35"/>
    <row r="143" ht="14.25" customHeight="1" s="35"/>
    <row r="144" ht="14.25" customHeight="1" s="35"/>
    <row r="145" ht="14.25" customHeight="1" s="35"/>
    <row r="146" ht="14.25" customHeight="1" s="35"/>
    <row r="147" ht="14.25" customHeight="1" s="35"/>
    <row r="148" ht="14.25" customHeight="1" s="35"/>
    <row r="149" ht="14.25" customHeight="1" s="35"/>
    <row r="150" ht="14.25" customHeight="1" s="35"/>
    <row r="151" ht="14.25" customHeight="1" s="35"/>
    <row r="152" ht="14.25" customHeight="1" s="35"/>
    <row r="153" ht="14.25" customHeight="1" s="35"/>
    <row r="154" ht="14.25" customHeight="1" s="35"/>
    <row r="155" ht="14.25" customHeight="1" s="35"/>
    <row r="156" ht="14.25" customHeight="1" s="35"/>
    <row r="157" ht="14.25" customHeight="1" s="35"/>
    <row r="158" ht="14.25" customHeight="1" s="35"/>
    <row r="159" ht="14.25" customHeight="1" s="35"/>
    <row r="160" ht="14.25" customHeight="1" s="35"/>
    <row r="161" ht="14.25" customHeight="1" s="35"/>
    <row r="162" ht="14.25" customHeight="1" s="35"/>
    <row r="163" ht="14.25" customHeight="1" s="35"/>
    <row r="164" ht="14.25" customHeight="1" s="35"/>
    <row r="165" ht="14.25" customHeight="1" s="35"/>
    <row r="166" ht="14.25" customHeight="1" s="35"/>
    <row r="167" ht="14.25" customHeight="1" s="35"/>
    <row r="168" ht="14.25" customHeight="1" s="35"/>
    <row r="169" ht="14.25" customHeight="1" s="35"/>
    <row r="170" ht="14.25" customHeight="1" s="35"/>
    <row r="171" ht="14.25" customHeight="1" s="35"/>
    <row r="172" ht="14.25" customHeight="1" s="35"/>
    <row r="173" ht="14.25" customHeight="1" s="35"/>
    <row r="174" ht="14.25" customHeight="1" s="35"/>
    <row r="175" ht="14.25" customHeight="1" s="35"/>
    <row r="176" ht="14.25" customHeight="1" s="35"/>
    <row r="177" ht="14.25" customHeight="1" s="35"/>
    <row r="178" ht="14.25" customHeight="1" s="35"/>
    <row r="179" ht="14.25" customHeight="1" s="35"/>
    <row r="180" ht="14.25" customHeight="1" s="35"/>
    <row r="181" ht="14.25" customHeight="1" s="35"/>
    <row r="182" ht="14.25" customHeight="1" s="35"/>
    <row r="183" ht="14.25" customHeight="1" s="35"/>
    <row r="184" ht="14.25" customHeight="1" s="35"/>
    <row r="185" ht="14.25" customHeight="1" s="35"/>
    <row r="186" ht="14.25" customHeight="1" s="35"/>
    <row r="187" ht="14.25" customHeight="1" s="35"/>
    <row r="188" ht="14.25" customHeight="1" s="35"/>
    <row r="189" ht="14.25" customHeight="1" s="35"/>
    <row r="190" ht="14.25" customHeight="1" s="35"/>
    <row r="191" ht="14.25" customHeight="1" s="35"/>
    <row r="192" ht="14.25" customHeight="1" s="35"/>
    <row r="193" ht="14.25" customHeight="1" s="35"/>
    <row r="194" ht="14.25" customHeight="1" s="35"/>
    <row r="195" ht="14.25" customHeight="1" s="35"/>
    <row r="196" ht="14.25" customHeight="1" s="35"/>
    <row r="197" ht="14.25" customHeight="1" s="35"/>
    <row r="198" ht="14.25" customHeight="1" s="35"/>
    <row r="199" ht="14.25" customHeight="1" s="35"/>
    <row r="200" ht="14.25" customHeight="1" s="35"/>
    <row r="201" ht="14.25" customHeight="1" s="35"/>
    <row r="202" ht="14.25" customHeight="1" s="35"/>
    <row r="203" ht="14.25" customHeight="1" s="35"/>
    <row r="204" ht="14.25" customHeight="1" s="35"/>
    <row r="205" ht="14.25" customHeight="1" s="35"/>
    <row r="206" ht="14.25" customHeight="1" s="35"/>
    <row r="207" ht="14.25" customHeight="1" s="35"/>
    <row r="208" ht="14.25" customHeight="1" s="35"/>
    <row r="209" ht="14.25" customHeight="1" s="35"/>
    <row r="210" ht="14.25" customHeight="1" s="35"/>
    <row r="211" ht="14.25" customHeight="1" s="35"/>
    <row r="212" ht="14.25" customHeight="1" s="35"/>
    <row r="213" ht="14.25" customHeight="1" s="35"/>
    <row r="214" ht="14.25" customHeight="1" s="35"/>
    <row r="215" ht="14.25" customHeight="1" s="35"/>
    <row r="216" ht="14.25" customHeight="1" s="35"/>
    <row r="217" ht="14.25" customHeight="1" s="35"/>
    <row r="218" ht="14.25" customHeight="1" s="35"/>
    <row r="219" ht="14.25" customHeight="1" s="35"/>
    <row r="220" ht="14.25" customHeight="1" s="35"/>
    <row r="221" ht="14.25" customHeight="1" s="35"/>
    <row r="222" ht="14.25" customHeight="1" s="35"/>
    <row r="223" ht="14.25" customHeight="1" s="35"/>
    <row r="224" ht="14.25" customHeight="1" s="35"/>
    <row r="225" ht="14.25" customHeight="1" s="35"/>
    <row r="226" ht="14.25" customHeight="1" s="35"/>
    <row r="227" ht="14.25" customHeight="1" s="35"/>
    <row r="228" ht="14.25" customHeight="1" s="35"/>
    <row r="229" ht="14.25" customHeight="1" s="35"/>
    <row r="230" ht="14.25" customHeight="1" s="35"/>
    <row r="231" ht="14.25" customHeight="1" s="35"/>
    <row r="232" ht="14.25" customHeight="1" s="35"/>
    <row r="233" ht="14.25" customHeight="1" s="35"/>
    <row r="234" ht="14.25" customHeight="1" s="35"/>
    <row r="235" ht="14.25" customHeight="1" s="35"/>
    <row r="236" ht="14.25" customHeight="1" s="35"/>
    <row r="237" ht="14.25" customHeight="1" s="35"/>
    <row r="238" ht="14.25" customHeight="1" s="35"/>
    <row r="239" ht="14.25" customHeight="1" s="35"/>
    <row r="240" ht="14.25" customHeight="1" s="35"/>
    <row r="241" ht="14.25" customHeight="1" s="35"/>
    <row r="242" ht="14.25" customHeight="1" s="35"/>
    <row r="243" ht="14.25" customHeight="1" s="35"/>
    <row r="244" ht="14.25" customHeight="1" s="35"/>
    <row r="245" ht="14.25" customHeight="1" s="35"/>
    <row r="246" ht="14.25" customHeight="1" s="35"/>
    <row r="247" ht="14.25" customHeight="1" s="35"/>
    <row r="248" ht="14.25" customHeight="1" s="35"/>
    <row r="249" ht="14.25" customHeight="1" s="35"/>
    <row r="250" ht="14.25" customHeight="1" s="35"/>
    <row r="251" ht="14.25" customHeight="1" s="35"/>
    <row r="252" ht="14.25" customHeight="1" s="35"/>
    <row r="253" ht="14.25" customHeight="1" s="35"/>
    <row r="254" ht="14.25" customHeight="1" s="35"/>
    <row r="255" ht="14.25" customHeight="1" s="35"/>
    <row r="256" ht="14.25" customHeight="1" s="35"/>
    <row r="257" ht="14.25" customHeight="1" s="35"/>
    <row r="258" ht="14.25" customHeight="1" s="35"/>
    <row r="259" ht="14.25" customHeight="1" s="35"/>
    <row r="260" ht="14.25" customHeight="1" s="35"/>
    <row r="261" ht="14.25" customHeight="1" s="35"/>
    <row r="262" ht="14.25" customHeight="1" s="35"/>
    <row r="263" ht="14.25" customHeight="1" s="35"/>
    <row r="264" ht="14.25" customHeight="1" s="35"/>
    <row r="265" ht="14.25" customHeight="1" s="35"/>
    <row r="266" ht="14.25" customHeight="1" s="35"/>
    <row r="267" ht="14.25" customHeight="1" s="35"/>
    <row r="268" ht="14.25" customHeight="1" s="35"/>
    <row r="269" ht="14.25" customHeight="1" s="35"/>
    <row r="270" ht="14.25" customHeight="1" s="35"/>
    <row r="271" ht="14.25" customHeight="1" s="35"/>
    <row r="272" ht="14.25" customHeight="1" s="35"/>
    <row r="273" ht="14.25" customHeight="1" s="35"/>
    <row r="274" ht="14.25" customHeight="1" s="35"/>
    <row r="275" ht="14.25" customHeight="1" s="35"/>
    <row r="276" ht="14.25" customHeight="1" s="35"/>
    <row r="277" ht="14.25" customHeight="1" s="35"/>
    <row r="278" ht="14.25" customHeight="1" s="35"/>
    <row r="279" ht="14.25" customHeight="1" s="35"/>
    <row r="280" ht="14.25" customHeight="1" s="35"/>
    <row r="281" ht="14.25" customHeight="1" s="35"/>
    <row r="282" ht="14.25" customHeight="1" s="35"/>
    <row r="283" ht="14.25" customHeight="1" s="35"/>
    <row r="284" ht="14.25" customHeight="1" s="35"/>
    <row r="285" ht="14.25" customHeight="1" s="35"/>
    <row r="286" ht="14.25" customHeight="1" s="35"/>
    <row r="287" ht="14.25" customHeight="1" s="35"/>
    <row r="288" ht="14.25" customHeight="1" s="35"/>
    <row r="289" ht="14.25" customHeight="1" s="35"/>
    <row r="290" ht="14.25" customHeight="1" s="35"/>
    <row r="291" ht="14.25" customHeight="1" s="35"/>
    <row r="292" ht="14.25" customHeight="1" s="35"/>
    <row r="293" ht="14.25" customHeight="1" s="35"/>
    <row r="294" ht="14.25" customHeight="1" s="35"/>
    <row r="295" ht="14.25" customHeight="1" s="35"/>
    <row r="296" ht="14.25" customHeight="1" s="35"/>
    <row r="297" ht="14.25" customHeight="1" s="35"/>
    <row r="298" ht="14.25" customHeight="1" s="35"/>
    <row r="299" ht="14.25" customHeight="1" s="35"/>
    <row r="300" ht="14.25" customHeight="1" s="35"/>
    <row r="301" ht="14.25" customHeight="1" s="35"/>
    <row r="302" ht="14.25" customHeight="1" s="35"/>
    <row r="303" ht="14.25" customHeight="1" s="35"/>
    <row r="304" ht="14.25" customHeight="1" s="35"/>
    <row r="305" ht="14.25" customHeight="1" s="35"/>
    <row r="306" ht="14.25" customHeight="1" s="35"/>
    <row r="307" ht="14.25" customHeight="1" s="35"/>
    <row r="308" ht="14.25" customHeight="1" s="35"/>
    <row r="309" ht="14.25" customHeight="1" s="35"/>
    <row r="310" ht="14.25" customHeight="1" s="35"/>
    <row r="311" ht="14.25" customHeight="1" s="35"/>
    <row r="312" ht="14.25" customHeight="1" s="35"/>
    <row r="313" ht="14.25" customHeight="1" s="35"/>
    <row r="314" ht="14.25" customHeight="1" s="35"/>
    <row r="315" ht="14.25" customHeight="1" s="35"/>
    <row r="316" ht="14.25" customHeight="1" s="35"/>
    <row r="317" ht="14.25" customHeight="1" s="35"/>
    <row r="318" ht="14.25" customHeight="1" s="35"/>
    <row r="319" ht="14.25" customHeight="1" s="35"/>
    <row r="320" ht="14.25" customHeight="1" s="35"/>
    <row r="321" ht="14.25" customHeight="1" s="35"/>
    <row r="322" ht="14.25" customHeight="1" s="35"/>
    <row r="323" ht="14.25" customHeight="1" s="35"/>
    <row r="324" ht="14.25" customHeight="1" s="35"/>
    <row r="325" ht="14.25" customHeight="1" s="35"/>
    <row r="326" ht="14.25" customHeight="1" s="35"/>
    <row r="327" ht="14.25" customHeight="1" s="35"/>
    <row r="328" ht="14.25" customHeight="1" s="35"/>
    <row r="329" ht="14.25" customHeight="1" s="35"/>
    <row r="330" ht="14.25" customHeight="1" s="35"/>
    <row r="331" ht="14.25" customHeight="1" s="35"/>
    <row r="332" ht="14.25" customHeight="1" s="35"/>
    <row r="333" ht="14.25" customHeight="1" s="35"/>
    <row r="334" ht="14.25" customHeight="1" s="35"/>
    <row r="335" ht="14.25" customHeight="1" s="35"/>
    <row r="336" ht="14.25" customHeight="1" s="35"/>
    <row r="337" ht="14.25" customHeight="1" s="35"/>
    <row r="338" ht="14.25" customHeight="1" s="35"/>
    <row r="339" ht="14.25" customHeight="1" s="35"/>
    <row r="340" ht="14.25" customHeight="1" s="35"/>
    <row r="341" ht="14.25" customHeight="1" s="35"/>
    <row r="342" ht="14.25" customHeight="1" s="35"/>
    <row r="343" ht="14.25" customHeight="1" s="35"/>
    <row r="344" ht="14.25" customHeight="1" s="35"/>
    <row r="345" ht="14.25" customHeight="1" s="35"/>
    <row r="346" ht="14.25" customHeight="1" s="35"/>
    <row r="347" ht="14.25" customHeight="1" s="35"/>
    <row r="348" ht="14.25" customHeight="1" s="35"/>
    <row r="349" ht="14.25" customHeight="1" s="35"/>
    <row r="350" ht="14.25" customHeight="1" s="35"/>
    <row r="351" ht="14.25" customHeight="1" s="35"/>
    <row r="352" ht="14.25" customHeight="1" s="35"/>
    <row r="353" ht="14.25" customHeight="1" s="35"/>
    <row r="354" ht="14.25" customHeight="1" s="35"/>
    <row r="355" ht="14.25" customHeight="1" s="35"/>
    <row r="356" ht="14.25" customHeight="1" s="35"/>
    <row r="357" ht="14.25" customHeight="1" s="35"/>
    <row r="358" ht="14.25" customHeight="1" s="35"/>
    <row r="359" ht="14.25" customHeight="1" s="35"/>
    <row r="360" ht="14.25" customHeight="1" s="35"/>
    <row r="361" ht="14.25" customHeight="1" s="35"/>
    <row r="362" ht="14.25" customHeight="1" s="35"/>
    <row r="363" ht="14.25" customHeight="1" s="35"/>
    <row r="364" ht="14.25" customHeight="1" s="35"/>
    <row r="365" ht="14.25" customHeight="1" s="35"/>
    <row r="366" ht="14.25" customHeight="1" s="35"/>
    <row r="367" ht="14.25" customHeight="1" s="35"/>
    <row r="368" ht="14.25" customHeight="1" s="35"/>
    <row r="369" ht="14.25" customHeight="1" s="35"/>
    <row r="370" ht="14.25" customHeight="1" s="35"/>
    <row r="371" ht="14.25" customHeight="1" s="35"/>
    <row r="372" ht="14.25" customHeight="1" s="35"/>
    <row r="373" ht="14.25" customHeight="1" s="35"/>
    <row r="374" ht="14.25" customHeight="1" s="35"/>
    <row r="375" ht="14.25" customHeight="1" s="35"/>
    <row r="376" ht="14.25" customHeight="1" s="35"/>
    <row r="377" ht="14.25" customHeight="1" s="35"/>
    <row r="378" ht="14.25" customHeight="1" s="35"/>
    <row r="379" ht="14.25" customHeight="1" s="35"/>
    <row r="380" ht="14.25" customHeight="1" s="35"/>
    <row r="381" ht="14.25" customHeight="1" s="35"/>
    <row r="382" ht="14.25" customHeight="1" s="35"/>
    <row r="383" ht="14.25" customHeight="1" s="35"/>
    <row r="384" ht="14.25" customHeight="1" s="35"/>
    <row r="385" ht="14.25" customHeight="1" s="35"/>
    <row r="386" ht="14.25" customHeight="1" s="35"/>
    <row r="387" ht="14.25" customHeight="1" s="35"/>
    <row r="388" ht="14.25" customHeight="1" s="35"/>
    <row r="389" ht="14.25" customHeight="1" s="35"/>
    <row r="390" ht="14.25" customHeight="1" s="35"/>
    <row r="391" ht="14.25" customHeight="1" s="35"/>
    <row r="392" ht="14.25" customHeight="1" s="35"/>
    <row r="393" ht="14.25" customHeight="1" s="35"/>
    <row r="394" ht="14.25" customHeight="1" s="35"/>
    <row r="395" ht="14.25" customHeight="1" s="35"/>
    <row r="396" ht="14.25" customHeight="1" s="35"/>
    <row r="397" ht="14.25" customHeight="1" s="35"/>
    <row r="398" ht="14.25" customHeight="1" s="35"/>
    <row r="399" ht="14.25" customHeight="1" s="35"/>
    <row r="400" ht="14.25" customHeight="1" s="35"/>
    <row r="401" ht="14.25" customHeight="1" s="35"/>
    <row r="402" ht="14.25" customHeight="1" s="35"/>
    <row r="403" ht="14.25" customHeight="1" s="35"/>
    <row r="404" ht="14.25" customHeight="1" s="35"/>
    <row r="405" ht="14.25" customHeight="1" s="35"/>
    <row r="406" ht="14.25" customHeight="1" s="35"/>
    <row r="407" ht="14.25" customHeight="1" s="35"/>
    <row r="408" ht="14.25" customHeight="1" s="35"/>
    <row r="409" ht="14.25" customHeight="1" s="35"/>
    <row r="410" ht="14.25" customHeight="1" s="35"/>
    <row r="411" ht="14.25" customHeight="1" s="35"/>
    <row r="412" ht="14.25" customHeight="1" s="35"/>
    <row r="413" ht="14.25" customHeight="1" s="35"/>
    <row r="414" ht="14.25" customHeight="1" s="35"/>
    <row r="415" ht="14.25" customHeight="1" s="35"/>
    <row r="416" ht="14.25" customHeight="1" s="35"/>
    <row r="417" ht="14.25" customHeight="1" s="35"/>
    <row r="418" ht="14.25" customHeight="1" s="35"/>
    <row r="419" ht="14.25" customHeight="1" s="35"/>
    <row r="420" ht="14.25" customHeight="1" s="35"/>
    <row r="421" ht="14.25" customHeight="1" s="35"/>
    <row r="422" ht="14.25" customHeight="1" s="35"/>
    <row r="423" ht="14.25" customHeight="1" s="35"/>
    <row r="424" ht="14.25" customHeight="1" s="35"/>
    <row r="425" ht="14.25" customHeight="1" s="35"/>
    <row r="426" ht="14.25" customHeight="1" s="35"/>
    <row r="427" ht="14.25" customHeight="1" s="35"/>
    <row r="428" ht="14.25" customHeight="1" s="35"/>
    <row r="429" ht="14.25" customHeight="1" s="35"/>
    <row r="430" ht="14.25" customHeight="1" s="35"/>
    <row r="431" ht="14.25" customHeight="1" s="35"/>
    <row r="432" ht="14.25" customHeight="1" s="35"/>
    <row r="433" ht="14.25" customHeight="1" s="35"/>
    <row r="434" ht="14.25" customHeight="1" s="35"/>
    <row r="435" ht="14.25" customHeight="1" s="35"/>
    <row r="436" ht="14.25" customHeight="1" s="35"/>
    <row r="437" ht="14.25" customHeight="1" s="35"/>
    <row r="438" ht="14.25" customHeight="1" s="35"/>
    <row r="439" ht="14.25" customHeight="1" s="35"/>
    <row r="440" ht="14.25" customHeight="1" s="35"/>
    <row r="441" ht="14.25" customHeight="1" s="35"/>
    <row r="442" ht="14.25" customHeight="1" s="35"/>
    <row r="443" ht="14.25" customHeight="1" s="35"/>
    <row r="444" ht="14.25" customHeight="1" s="35"/>
    <row r="445" ht="14.25" customHeight="1" s="35"/>
    <row r="446" ht="14.25" customHeight="1" s="35"/>
    <row r="447" ht="14.25" customHeight="1" s="35"/>
    <row r="448" ht="14.25" customHeight="1" s="35"/>
    <row r="449" ht="14.25" customHeight="1" s="35"/>
    <row r="450" ht="14.25" customHeight="1" s="35"/>
    <row r="451" ht="14.25" customHeight="1" s="35"/>
    <row r="452" ht="14.25" customHeight="1" s="35"/>
    <row r="453" ht="14.25" customHeight="1" s="35"/>
    <row r="454" ht="14.25" customHeight="1" s="35"/>
    <row r="455" ht="14.25" customHeight="1" s="35"/>
    <row r="456" ht="14.25" customHeight="1" s="35"/>
    <row r="457" ht="14.25" customHeight="1" s="35"/>
    <row r="458" ht="14.25" customHeight="1" s="35"/>
    <row r="459" ht="14.25" customHeight="1" s="35"/>
    <row r="460" ht="14.25" customHeight="1" s="35"/>
    <row r="461" ht="14.25" customHeight="1" s="35"/>
    <row r="462" ht="14.25" customHeight="1" s="35"/>
    <row r="463" ht="14.25" customHeight="1" s="35"/>
    <row r="464" ht="14.25" customHeight="1" s="35"/>
    <row r="465" ht="14.25" customHeight="1" s="35"/>
    <row r="466" ht="14.25" customHeight="1" s="35"/>
    <row r="467" ht="14.25" customHeight="1" s="35"/>
    <row r="468" ht="14.25" customHeight="1" s="35"/>
    <row r="469" ht="14.25" customHeight="1" s="35"/>
    <row r="470" ht="14.25" customHeight="1" s="35"/>
    <row r="471" ht="14.25" customHeight="1" s="35"/>
    <row r="472" ht="14.25" customHeight="1" s="35"/>
    <row r="473" ht="14.25" customHeight="1" s="35"/>
    <row r="474" ht="14.25" customHeight="1" s="35"/>
    <row r="475" ht="14.25" customHeight="1" s="35"/>
    <row r="476" ht="14.25" customHeight="1" s="35"/>
    <row r="477" ht="14.25" customHeight="1" s="35"/>
    <row r="478" ht="14.25" customHeight="1" s="35"/>
    <row r="479" ht="14.25" customHeight="1" s="35"/>
    <row r="480" ht="14.25" customHeight="1" s="35"/>
    <row r="481" ht="14.25" customHeight="1" s="35"/>
    <row r="482" ht="14.25" customHeight="1" s="35"/>
    <row r="483" ht="14.25" customHeight="1" s="35"/>
    <row r="484" ht="14.25" customHeight="1" s="35"/>
    <row r="485" ht="14.25" customHeight="1" s="35"/>
    <row r="486" ht="14.25" customHeight="1" s="35"/>
    <row r="487" ht="14.25" customHeight="1" s="35"/>
    <row r="488" ht="14.25" customHeight="1" s="35"/>
    <row r="489" ht="14.25" customHeight="1" s="35"/>
    <row r="490" ht="14.25" customHeight="1" s="35"/>
    <row r="491" ht="14.25" customHeight="1" s="35"/>
    <row r="492" ht="14.25" customHeight="1" s="35"/>
    <row r="493" ht="14.25" customHeight="1" s="35"/>
    <row r="494" ht="14.25" customHeight="1" s="35"/>
    <row r="495" ht="14.25" customHeight="1" s="35"/>
    <row r="496" ht="14.25" customHeight="1" s="35"/>
    <row r="497" ht="14.25" customHeight="1" s="35"/>
    <row r="498" ht="14.25" customHeight="1" s="35"/>
    <row r="499" ht="14.25" customHeight="1" s="35"/>
    <row r="500" ht="14.25" customHeight="1" s="35"/>
    <row r="501" ht="14.25" customHeight="1" s="35"/>
    <row r="502" ht="14.25" customHeight="1" s="35"/>
    <row r="503" ht="14.25" customHeight="1" s="35"/>
    <row r="504" ht="14.25" customHeight="1" s="35"/>
    <row r="505" ht="14.25" customHeight="1" s="35"/>
    <row r="506" ht="14.25" customHeight="1" s="35"/>
    <row r="507" ht="14.25" customHeight="1" s="35"/>
    <row r="508" ht="14.25" customHeight="1" s="35"/>
    <row r="509" ht="14.25" customHeight="1" s="35"/>
    <row r="510" ht="14.25" customHeight="1" s="35"/>
    <row r="511" ht="14.25" customHeight="1" s="35"/>
    <row r="512" ht="14.25" customHeight="1" s="35"/>
    <row r="513" ht="14.25" customHeight="1" s="35"/>
    <row r="514" ht="14.25" customHeight="1" s="35"/>
    <row r="515" ht="14.25" customHeight="1" s="35"/>
    <row r="516" ht="14.25" customHeight="1" s="35"/>
    <row r="517" ht="14.25" customHeight="1" s="35"/>
    <row r="518" ht="14.25" customHeight="1" s="35"/>
    <row r="519" ht="14.25" customHeight="1" s="35"/>
    <row r="520" ht="14.25" customHeight="1" s="35"/>
    <row r="521" ht="14.25" customHeight="1" s="35"/>
    <row r="522" ht="14.25" customHeight="1" s="35"/>
    <row r="523" ht="14.25" customHeight="1" s="35"/>
    <row r="524" ht="14.25" customHeight="1" s="35"/>
    <row r="525" ht="14.25" customHeight="1" s="35"/>
    <row r="526" ht="14.25" customHeight="1" s="35"/>
    <row r="527" ht="14.25" customHeight="1" s="35"/>
    <row r="528" ht="14.25" customHeight="1" s="35"/>
    <row r="529" ht="14.25" customHeight="1" s="35"/>
    <row r="530" ht="14.25" customHeight="1" s="35"/>
    <row r="531" ht="14.25" customHeight="1" s="35"/>
    <row r="532" ht="14.25" customHeight="1" s="35"/>
    <row r="533" ht="14.25" customHeight="1" s="35"/>
    <row r="534" ht="14.25" customHeight="1" s="35"/>
    <row r="535" ht="14.25" customHeight="1" s="35"/>
    <row r="536" ht="14.25" customHeight="1" s="35"/>
    <row r="537" ht="14.25" customHeight="1" s="35"/>
    <row r="538" ht="14.25" customHeight="1" s="35"/>
    <row r="539" ht="14.25" customHeight="1" s="35"/>
    <row r="540" ht="14.25" customHeight="1" s="35"/>
    <row r="541" ht="14.25" customHeight="1" s="35"/>
    <row r="542" ht="14.25" customHeight="1" s="35"/>
    <row r="543" ht="14.25" customHeight="1" s="35"/>
    <row r="544" ht="14.25" customHeight="1" s="35"/>
    <row r="545" ht="14.25" customHeight="1" s="35"/>
    <row r="546" ht="14.25" customHeight="1" s="35"/>
    <row r="547" ht="14.25" customHeight="1" s="35"/>
    <row r="548" ht="14.25" customHeight="1" s="35"/>
    <row r="549" ht="14.25" customHeight="1" s="35"/>
    <row r="550" ht="14.25" customHeight="1" s="35"/>
    <row r="551" ht="14.25" customHeight="1" s="35"/>
    <row r="552" ht="14.25" customHeight="1" s="35"/>
    <row r="553" ht="14.25" customHeight="1" s="35"/>
    <row r="554" ht="14.25" customHeight="1" s="35"/>
    <row r="555" ht="14.25" customHeight="1" s="35"/>
    <row r="556" ht="14.25" customHeight="1" s="35"/>
    <row r="557" ht="14.25" customHeight="1" s="35"/>
    <row r="558" ht="14.25" customHeight="1" s="35"/>
    <row r="559" ht="14.25" customHeight="1" s="35"/>
    <row r="560" ht="14.25" customHeight="1" s="35"/>
    <row r="561" ht="14.25" customHeight="1" s="35"/>
    <row r="562" ht="14.25" customHeight="1" s="35"/>
    <row r="563" ht="14.25" customHeight="1" s="35"/>
    <row r="564" ht="14.25" customHeight="1" s="35"/>
    <row r="565" ht="14.25" customHeight="1" s="35"/>
    <row r="566" ht="14.25" customHeight="1" s="35"/>
    <row r="567" ht="14.25" customHeight="1" s="35"/>
    <row r="568" ht="14.25" customHeight="1" s="35"/>
    <row r="569" ht="14.25" customHeight="1" s="35"/>
    <row r="570" ht="14.25" customHeight="1" s="35"/>
    <row r="571" ht="14.25" customHeight="1" s="35"/>
    <row r="572" ht="14.25" customHeight="1" s="35"/>
    <row r="573" ht="14.25" customHeight="1" s="35"/>
    <row r="574" ht="14.25" customHeight="1" s="35"/>
    <row r="575" ht="14.25" customHeight="1" s="35"/>
    <row r="576" ht="14.25" customHeight="1" s="35"/>
    <row r="577" ht="14.25" customHeight="1" s="35"/>
    <row r="578" ht="14.25" customHeight="1" s="35"/>
    <row r="579" ht="14.25" customHeight="1" s="35"/>
    <row r="580" ht="14.25" customHeight="1" s="35"/>
    <row r="581" ht="14.25" customHeight="1" s="35"/>
    <row r="582" ht="14.25" customHeight="1" s="35"/>
    <row r="583" ht="14.25" customHeight="1" s="35"/>
    <row r="584" ht="14.25" customHeight="1" s="35"/>
    <row r="585" ht="14.25" customHeight="1" s="35"/>
    <row r="586" ht="14.25" customHeight="1" s="35"/>
    <row r="587" ht="14.25" customHeight="1" s="35"/>
    <row r="588" ht="14.25" customHeight="1" s="35"/>
    <row r="589" ht="14.25" customHeight="1" s="35"/>
    <row r="590" ht="14.25" customHeight="1" s="35"/>
    <row r="591" ht="14.25" customHeight="1" s="35"/>
    <row r="592" ht="14.25" customHeight="1" s="35"/>
    <row r="593" ht="14.25" customHeight="1" s="35"/>
    <row r="594" ht="14.25" customHeight="1" s="35"/>
    <row r="595" ht="14.25" customHeight="1" s="35"/>
    <row r="596" ht="14.25" customHeight="1" s="35"/>
    <row r="597" ht="14.25" customHeight="1" s="35"/>
    <row r="598" ht="14.25" customHeight="1" s="35"/>
    <row r="599" ht="14.25" customHeight="1" s="35"/>
    <row r="600" ht="14.25" customHeight="1" s="35"/>
    <row r="601" ht="14.25" customHeight="1" s="35"/>
    <row r="602" ht="14.25" customHeight="1" s="35"/>
    <row r="603" ht="14.25" customHeight="1" s="35"/>
    <row r="604" ht="14.25" customHeight="1" s="35"/>
    <row r="605" ht="14.25" customHeight="1" s="35"/>
    <row r="606" ht="14.25" customHeight="1" s="35"/>
    <row r="607" ht="14.25" customHeight="1" s="35"/>
    <row r="608" ht="14.25" customHeight="1" s="35"/>
    <row r="609" ht="14.25" customHeight="1" s="35"/>
    <row r="610" ht="14.25" customHeight="1" s="35"/>
    <row r="611" ht="14.25" customHeight="1" s="35"/>
    <row r="612" ht="14.25" customHeight="1" s="35"/>
    <row r="613" ht="14.25" customHeight="1" s="35"/>
    <row r="614" ht="14.25" customHeight="1" s="35"/>
    <row r="615" ht="14.25" customHeight="1" s="35"/>
    <row r="616" ht="14.25" customHeight="1" s="35"/>
    <row r="617" ht="14.25" customHeight="1" s="35"/>
    <row r="618" ht="14.25" customHeight="1" s="35"/>
    <row r="619" ht="14.25" customHeight="1" s="35"/>
    <row r="620" ht="14.25" customHeight="1" s="35"/>
    <row r="621" ht="14.25" customHeight="1" s="35"/>
    <row r="622" ht="14.25" customHeight="1" s="35"/>
    <row r="623" ht="14.25" customHeight="1" s="35"/>
    <row r="624" ht="14.25" customHeight="1" s="35"/>
    <row r="625" ht="14.25" customHeight="1" s="35"/>
    <row r="626" ht="14.25" customHeight="1" s="35"/>
    <row r="627" ht="14.25" customHeight="1" s="35"/>
    <row r="628" ht="14.25" customHeight="1" s="35"/>
    <row r="629" ht="14.25" customHeight="1" s="35"/>
    <row r="630" ht="14.25" customHeight="1" s="35"/>
    <row r="631" ht="14.25" customHeight="1" s="35"/>
    <row r="632" ht="14.25" customHeight="1" s="35"/>
    <row r="633" ht="14.25" customHeight="1" s="35"/>
    <row r="634" ht="14.25" customHeight="1" s="35"/>
    <row r="635" ht="14.25" customHeight="1" s="35"/>
    <row r="636" ht="14.25" customHeight="1" s="35"/>
    <row r="637" ht="14.25" customHeight="1" s="35"/>
    <row r="638" ht="14.25" customHeight="1" s="35"/>
    <row r="639" ht="14.25" customHeight="1" s="35"/>
    <row r="640" ht="14.25" customHeight="1" s="35"/>
    <row r="641" ht="14.25" customHeight="1" s="35"/>
    <row r="642" ht="14.25" customHeight="1" s="35"/>
    <row r="643" ht="14.25" customHeight="1" s="35"/>
    <row r="644" ht="14.25" customHeight="1" s="35"/>
    <row r="645" ht="14.25" customHeight="1" s="35"/>
    <row r="646" ht="14.25" customHeight="1" s="35"/>
    <row r="647" ht="14.25" customHeight="1" s="35"/>
    <row r="648" ht="14.25" customHeight="1" s="35"/>
    <row r="649" ht="14.25" customHeight="1" s="35"/>
    <row r="650" ht="14.25" customHeight="1" s="35"/>
    <row r="651" ht="14.25" customHeight="1" s="35"/>
    <row r="652" ht="14.25" customHeight="1" s="35"/>
    <row r="653" ht="14.25" customHeight="1" s="35"/>
    <row r="654" ht="14.25" customHeight="1" s="35"/>
    <row r="655" ht="14.25" customHeight="1" s="35"/>
    <row r="656" ht="14.25" customHeight="1" s="35"/>
    <row r="657" ht="14.25" customHeight="1" s="35"/>
    <row r="658" ht="14.25" customHeight="1" s="35"/>
    <row r="659" ht="14.25" customHeight="1" s="35"/>
    <row r="660" ht="14.25" customHeight="1" s="35"/>
    <row r="661" ht="14.25" customHeight="1" s="35"/>
    <row r="662" ht="14.25" customHeight="1" s="35"/>
    <row r="663" ht="14.25" customHeight="1" s="35"/>
    <row r="664" ht="14.25" customHeight="1" s="35"/>
    <row r="665" ht="14.25" customHeight="1" s="35"/>
    <row r="666" ht="14.25" customHeight="1" s="35"/>
    <row r="667" ht="14.25" customHeight="1" s="35"/>
    <row r="668" ht="14.25" customHeight="1" s="35"/>
    <row r="669" ht="14.25" customHeight="1" s="35"/>
    <row r="670" ht="14.25" customHeight="1" s="35"/>
    <row r="671" ht="14.25" customHeight="1" s="35"/>
    <row r="672" ht="14.25" customHeight="1" s="35"/>
    <row r="673" ht="14.25" customHeight="1" s="35"/>
    <row r="674" ht="14.25" customHeight="1" s="35"/>
    <row r="675" ht="14.25" customHeight="1" s="35"/>
    <row r="676" ht="14.25" customHeight="1" s="35"/>
    <row r="677" ht="14.25" customHeight="1" s="35"/>
    <row r="678" ht="14.25" customHeight="1" s="35"/>
    <row r="679" ht="14.25" customHeight="1" s="35"/>
    <row r="680" ht="14.25" customHeight="1" s="35"/>
    <row r="681" ht="14.25" customHeight="1" s="35"/>
    <row r="682" ht="14.25" customHeight="1" s="35"/>
    <row r="683" ht="14.25" customHeight="1" s="35"/>
    <row r="684" ht="14.25" customHeight="1" s="35"/>
    <row r="685" ht="14.25" customHeight="1" s="35"/>
    <row r="686" ht="14.25" customHeight="1" s="35"/>
    <row r="687" ht="14.25" customHeight="1" s="35"/>
    <row r="688" ht="14.25" customHeight="1" s="35"/>
    <row r="689" ht="14.25" customHeight="1" s="35"/>
    <row r="690" ht="14.25" customHeight="1" s="35"/>
    <row r="691" ht="14.25" customHeight="1" s="35"/>
    <row r="692" ht="14.25" customHeight="1" s="35"/>
    <row r="693" ht="14.25" customHeight="1" s="35"/>
    <row r="694" ht="14.25" customHeight="1" s="35"/>
    <row r="695" ht="14.25" customHeight="1" s="35"/>
    <row r="696" ht="14.25" customHeight="1" s="35"/>
    <row r="697" ht="14.25" customHeight="1" s="35"/>
    <row r="698" ht="14.25" customHeight="1" s="35"/>
    <row r="699" ht="14.25" customHeight="1" s="35"/>
    <row r="700" ht="14.25" customHeight="1" s="35"/>
    <row r="701" ht="14.25" customHeight="1" s="35"/>
    <row r="702" ht="14.25" customHeight="1" s="35"/>
    <row r="703" ht="14.25" customHeight="1" s="35"/>
    <row r="704" ht="14.25" customHeight="1" s="35"/>
    <row r="705" ht="14.25" customHeight="1" s="35"/>
    <row r="706" ht="14.25" customHeight="1" s="35"/>
    <row r="707" ht="14.25" customHeight="1" s="35"/>
    <row r="708" ht="14.25" customHeight="1" s="35"/>
    <row r="709" ht="14.25" customHeight="1" s="35"/>
    <row r="710" ht="14.25" customHeight="1" s="35"/>
    <row r="711" ht="14.25" customHeight="1" s="35"/>
    <row r="712" ht="14.25" customHeight="1" s="35"/>
    <row r="713" ht="14.25" customHeight="1" s="35"/>
    <row r="714" ht="14.25" customHeight="1" s="35"/>
    <row r="715" ht="14.25" customHeight="1" s="35"/>
    <row r="716" ht="14.25" customHeight="1" s="35"/>
    <row r="717" ht="14.25" customHeight="1" s="35"/>
    <row r="718" ht="14.25" customHeight="1" s="35"/>
    <row r="719" ht="14.25" customHeight="1" s="35"/>
    <row r="720" ht="14.25" customHeight="1" s="35"/>
    <row r="721" ht="14.25" customHeight="1" s="35"/>
    <row r="722" ht="14.25" customHeight="1" s="35"/>
    <row r="723" ht="14.25" customHeight="1" s="35"/>
    <row r="724" ht="14.25" customHeight="1" s="35"/>
    <row r="725" ht="14.25" customHeight="1" s="35"/>
    <row r="726" ht="14.25" customHeight="1" s="35"/>
    <row r="727" ht="14.25" customHeight="1" s="35"/>
    <row r="728" ht="14.25" customHeight="1" s="35"/>
    <row r="729" ht="14.25" customHeight="1" s="35"/>
    <row r="730" ht="14.25" customHeight="1" s="35"/>
    <row r="731" ht="14.25" customHeight="1" s="35"/>
    <row r="732" ht="14.25" customHeight="1" s="35"/>
    <row r="733" ht="14.25" customHeight="1" s="35"/>
    <row r="734" ht="14.25" customHeight="1" s="35"/>
    <row r="735" ht="14.25" customHeight="1" s="35"/>
    <row r="736" ht="14.25" customHeight="1" s="35"/>
    <row r="737" ht="14.25" customHeight="1" s="35"/>
    <row r="738" ht="14.25" customHeight="1" s="35"/>
    <row r="739" ht="14.25" customHeight="1" s="35"/>
    <row r="740" ht="14.25" customHeight="1" s="35"/>
    <row r="741" ht="14.25" customHeight="1" s="35"/>
    <row r="742" ht="14.25" customHeight="1" s="35"/>
    <row r="743" ht="14.25" customHeight="1" s="35"/>
    <row r="744" ht="14.25" customHeight="1" s="35"/>
    <row r="745" ht="14.25" customHeight="1" s="35"/>
    <row r="746" ht="14.25" customHeight="1" s="35"/>
    <row r="747" ht="14.25" customHeight="1" s="35"/>
    <row r="748" ht="14.25" customHeight="1" s="35"/>
    <row r="749" ht="14.25" customHeight="1" s="35"/>
    <row r="750" ht="14.25" customHeight="1" s="35"/>
    <row r="751" ht="14.25" customHeight="1" s="35"/>
    <row r="752" ht="14.25" customHeight="1" s="35"/>
    <row r="753" ht="14.25" customHeight="1" s="35"/>
    <row r="754" ht="14.25" customHeight="1" s="35"/>
    <row r="755" ht="14.25" customHeight="1" s="35"/>
    <row r="756" ht="14.25" customHeight="1" s="35"/>
    <row r="757" ht="14.25" customHeight="1" s="35"/>
    <row r="758" ht="14.25" customHeight="1" s="35"/>
    <row r="759" ht="14.25" customHeight="1" s="35"/>
    <row r="760" ht="14.25" customHeight="1" s="35"/>
    <row r="761" ht="14.25" customHeight="1" s="35"/>
    <row r="762" ht="14.25" customHeight="1" s="35"/>
    <row r="763" ht="14.25" customHeight="1" s="35"/>
    <row r="764" ht="14.25" customHeight="1" s="35"/>
    <row r="765" ht="14.25" customHeight="1" s="35"/>
    <row r="766" ht="14.25" customHeight="1" s="35"/>
    <row r="767" ht="14.25" customHeight="1" s="35"/>
    <row r="768" ht="14.25" customHeight="1" s="35"/>
    <row r="769" ht="14.25" customHeight="1" s="35"/>
    <row r="770" ht="14.25" customHeight="1" s="35"/>
    <row r="771" ht="14.25" customHeight="1" s="35"/>
    <row r="772" ht="14.25" customHeight="1" s="35"/>
    <row r="773" ht="14.25" customHeight="1" s="35"/>
    <row r="774" ht="14.25" customHeight="1" s="35"/>
    <row r="775" ht="14.25" customHeight="1" s="35"/>
    <row r="776" ht="14.25" customHeight="1" s="35"/>
    <row r="777" ht="14.25" customHeight="1" s="35"/>
    <row r="778" ht="14.25" customHeight="1" s="35"/>
    <row r="779" ht="14.25" customHeight="1" s="35"/>
    <row r="780" ht="14.25" customHeight="1" s="35"/>
    <row r="781" ht="14.25" customHeight="1" s="35"/>
    <row r="782" ht="14.25" customHeight="1" s="35"/>
    <row r="783" ht="14.25" customHeight="1" s="35"/>
    <row r="784" ht="14.25" customHeight="1" s="35"/>
    <row r="785" ht="14.25" customHeight="1" s="35"/>
    <row r="786" ht="14.25" customHeight="1" s="35"/>
    <row r="787" ht="14.25" customHeight="1" s="35"/>
    <row r="788" ht="14.25" customHeight="1" s="35"/>
    <row r="789" ht="14.25" customHeight="1" s="35"/>
    <row r="790" ht="14.25" customHeight="1" s="35"/>
    <row r="791" ht="14.25" customHeight="1" s="35"/>
    <row r="792" ht="14.25" customHeight="1" s="35"/>
    <row r="793" ht="14.25" customHeight="1" s="35"/>
    <row r="794" ht="14.25" customHeight="1" s="35"/>
    <row r="795" ht="14.25" customHeight="1" s="35"/>
    <row r="796" ht="14.25" customHeight="1" s="35"/>
    <row r="797" ht="14.25" customHeight="1" s="35"/>
    <row r="798" ht="14.25" customHeight="1" s="35"/>
    <row r="799" ht="14.25" customHeight="1" s="35"/>
    <row r="800" ht="14.25" customHeight="1" s="35"/>
    <row r="801" ht="14.25" customHeight="1" s="35"/>
    <row r="802" ht="14.25" customHeight="1" s="35"/>
    <row r="803" ht="14.25" customHeight="1" s="35"/>
    <row r="804" ht="14.25" customHeight="1" s="35"/>
    <row r="805" ht="14.25" customHeight="1" s="35"/>
    <row r="806" ht="14.25" customHeight="1" s="35"/>
    <row r="807" ht="14.25" customHeight="1" s="35"/>
    <row r="808" ht="14.25" customHeight="1" s="35"/>
    <row r="809" ht="14.25" customHeight="1" s="35"/>
    <row r="810" ht="14.25" customHeight="1" s="35"/>
    <row r="811" ht="14.25" customHeight="1" s="35"/>
    <row r="812" ht="14.25" customHeight="1" s="35"/>
    <row r="813" ht="14.25" customHeight="1" s="35"/>
    <row r="814" ht="14.25" customHeight="1" s="35"/>
    <row r="815" ht="14.25" customHeight="1" s="35"/>
    <row r="816" ht="14.25" customHeight="1" s="35"/>
    <row r="817" ht="14.25" customHeight="1" s="35"/>
    <row r="818" ht="14.25" customHeight="1" s="35"/>
    <row r="819" ht="14.25" customHeight="1" s="35"/>
    <row r="820" ht="14.25" customHeight="1" s="35"/>
    <row r="821" ht="14.25" customHeight="1" s="35"/>
    <row r="822" ht="14.25" customHeight="1" s="35"/>
    <row r="823" ht="14.25" customHeight="1" s="35"/>
    <row r="824" ht="14.25" customHeight="1" s="35"/>
    <row r="825" ht="14.25" customHeight="1" s="35"/>
    <row r="826" ht="14.25" customHeight="1" s="35"/>
    <row r="827" ht="14.25" customHeight="1" s="35"/>
    <row r="828" ht="14.25" customHeight="1" s="35"/>
    <row r="829" ht="14.25" customHeight="1" s="35"/>
    <row r="830" ht="14.25" customHeight="1" s="35"/>
    <row r="831" ht="14.25" customHeight="1" s="35"/>
    <row r="832" ht="14.25" customHeight="1" s="35"/>
    <row r="833" ht="14.25" customHeight="1" s="35"/>
    <row r="834" ht="14.25" customHeight="1" s="35"/>
    <row r="835" ht="14.25" customHeight="1" s="35"/>
    <row r="836" ht="14.25" customHeight="1" s="35"/>
    <row r="837" ht="14.25" customHeight="1" s="35"/>
    <row r="838" ht="14.25" customHeight="1" s="35"/>
    <row r="839" ht="14.25" customHeight="1" s="35"/>
    <row r="840" ht="14.25" customHeight="1" s="35"/>
    <row r="841" ht="14.25" customHeight="1" s="35"/>
    <row r="842" ht="14.25" customHeight="1" s="35"/>
    <row r="843" ht="14.25" customHeight="1" s="35"/>
    <row r="844" ht="14.25" customHeight="1" s="35"/>
    <row r="845" ht="14.25" customHeight="1" s="35"/>
    <row r="846" ht="14.25" customHeight="1" s="35"/>
    <row r="847" ht="14.25" customHeight="1" s="35"/>
    <row r="848" ht="14.25" customHeight="1" s="35"/>
    <row r="849" ht="14.25" customHeight="1" s="35"/>
    <row r="850" ht="14.25" customHeight="1" s="35"/>
    <row r="851" ht="14.25" customHeight="1" s="35"/>
    <row r="852" ht="14.25" customHeight="1" s="35"/>
    <row r="853" ht="14.25" customHeight="1" s="35"/>
    <row r="854" ht="14.25" customHeight="1" s="35"/>
    <row r="855" ht="14.25" customHeight="1" s="35"/>
    <row r="856" ht="14.25" customHeight="1" s="35"/>
    <row r="857" ht="14.25" customHeight="1" s="35"/>
    <row r="858" ht="14.25" customHeight="1" s="35"/>
    <row r="859" ht="14.25" customHeight="1" s="35"/>
    <row r="860" ht="14.25" customHeight="1" s="35"/>
    <row r="861" ht="14.25" customHeight="1" s="35"/>
    <row r="862" ht="14.25" customHeight="1" s="35"/>
    <row r="863" ht="14.25" customHeight="1" s="35"/>
    <row r="864" ht="14.25" customHeight="1" s="35"/>
    <row r="865" ht="14.25" customHeight="1" s="35"/>
    <row r="866" ht="14.25" customHeight="1" s="35"/>
    <row r="867" ht="14.25" customHeight="1" s="35"/>
    <row r="868" ht="14.25" customHeight="1" s="35"/>
    <row r="869" ht="14.25" customHeight="1" s="35"/>
    <row r="870" ht="14.25" customHeight="1" s="35"/>
    <row r="871" ht="14.25" customHeight="1" s="35"/>
    <row r="872" ht="14.25" customHeight="1" s="35"/>
    <row r="873" ht="14.25" customHeight="1" s="35"/>
    <row r="874" ht="14.25" customHeight="1" s="35"/>
    <row r="875" ht="14.25" customHeight="1" s="35"/>
    <row r="876" ht="14.25" customHeight="1" s="35"/>
    <row r="877" ht="14.25" customHeight="1" s="35"/>
    <row r="878" ht="14.25" customHeight="1" s="35"/>
    <row r="879" ht="14.25" customHeight="1" s="35"/>
    <row r="880" ht="14.25" customHeight="1" s="35"/>
    <row r="881" ht="14.25" customHeight="1" s="35"/>
    <row r="882" ht="14.25" customHeight="1" s="35"/>
    <row r="883" ht="14.25" customHeight="1" s="35"/>
    <row r="884" ht="14.25" customHeight="1" s="35"/>
    <row r="885" ht="14.25" customHeight="1" s="35"/>
    <row r="886" ht="14.25" customHeight="1" s="35"/>
    <row r="887" ht="14.25" customHeight="1" s="35"/>
    <row r="888" ht="14.25" customHeight="1" s="35"/>
    <row r="889" ht="14.25" customHeight="1" s="35"/>
    <row r="890" ht="14.25" customHeight="1" s="35"/>
    <row r="891" ht="14.25" customHeight="1" s="35"/>
    <row r="892" ht="14.25" customHeight="1" s="35"/>
    <row r="893" ht="14.25" customHeight="1" s="35"/>
    <row r="894" ht="14.25" customHeight="1" s="35"/>
    <row r="895" ht="14.25" customHeight="1" s="35"/>
    <row r="896" ht="14.25" customHeight="1" s="35"/>
    <row r="897" ht="14.25" customHeight="1" s="35"/>
    <row r="898" ht="14.25" customHeight="1" s="35"/>
    <row r="899" ht="14.25" customHeight="1" s="35"/>
    <row r="900" ht="14.25" customHeight="1" s="35"/>
    <row r="901" ht="14.25" customHeight="1" s="35"/>
    <row r="902" ht="14.25" customHeight="1" s="35"/>
    <row r="903" ht="14.25" customHeight="1" s="35"/>
    <row r="904" ht="14.25" customHeight="1" s="35"/>
    <row r="905" ht="14.25" customHeight="1" s="35"/>
    <row r="906" ht="14.25" customHeight="1" s="35"/>
    <row r="907" ht="14.25" customHeight="1" s="35"/>
    <row r="908" ht="14.25" customHeight="1" s="35"/>
    <row r="909" ht="14.25" customHeight="1" s="35"/>
    <row r="910" ht="14.25" customHeight="1" s="35"/>
    <row r="911" ht="14.25" customHeight="1" s="35"/>
    <row r="912" ht="14.25" customHeight="1" s="35"/>
    <row r="913" ht="14.25" customHeight="1" s="35"/>
    <row r="914" ht="14.25" customHeight="1" s="35"/>
    <row r="915" ht="14.25" customHeight="1" s="35"/>
    <row r="916" ht="14.25" customHeight="1" s="35"/>
    <row r="917" ht="14.25" customHeight="1" s="35"/>
    <row r="918" ht="14.25" customHeight="1" s="35"/>
    <row r="919" ht="14.25" customHeight="1" s="35"/>
    <row r="920" ht="14.25" customHeight="1" s="35"/>
    <row r="921" ht="14.25" customHeight="1" s="35"/>
    <row r="922" ht="14.25" customHeight="1" s="35"/>
    <row r="923" ht="14.25" customHeight="1" s="35"/>
    <row r="924" ht="14.25" customHeight="1" s="35"/>
    <row r="925" ht="14.25" customHeight="1" s="35"/>
    <row r="926" ht="14.25" customHeight="1" s="35"/>
    <row r="927" ht="14.25" customHeight="1" s="35"/>
    <row r="928" ht="14.25" customHeight="1" s="35"/>
    <row r="929" ht="14.25" customHeight="1" s="35"/>
    <row r="930" ht="14.25" customHeight="1" s="35"/>
    <row r="931" ht="14.25" customHeight="1" s="35"/>
    <row r="932" ht="14.25" customHeight="1" s="35"/>
    <row r="933" ht="14.25" customHeight="1" s="35"/>
    <row r="934" ht="14.25" customHeight="1" s="35"/>
    <row r="935" ht="14.25" customHeight="1" s="35"/>
    <row r="936" ht="14.25" customHeight="1" s="35"/>
    <row r="937" ht="14.25" customHeight="1" s="35"/>
    <row r="938" ht="14.25" customHeight="1" s="35"/>
    <row r="939" ht="14.25" customHeight="1" s="35"/>
    <row r="940" ht="14.25" customHeight="1" s="35"/>
    <row r="941" ht="14.25" customHeight="1" s="35"/>
    <row r="942" ht="14.25" customHeight="1" s="35"/>
    <row r="943" ht="14.25" customHeight="1" s="35"/>
    <row r="944" ht="14.25" customHeight="1" s="35"/>
    <row r="945" ht="14.25" customHeight="1" s="35"/>
    <row r="946" ht="14.25" customHeight="1" s="35"/>
    <row r="947" ht="14.25" customHeight="1" s="35"/>
    <row r="948" ht="14.25" customHeight="1" s="35"/>
    <row r="949" ht="14.25" customHeight="1" s="35"/>
    <row r="950" ht="14.25" customHeight="1" s="35"/>
    <row r="951" ht="14.25" customHeight="1" s="35"/>
    <row r="952" ht="14.25" customHeight="1" s="35"/>
    <row r="953" ht="14.25" customHeight="1" s="35"/>
    <row r="954" ht="14.25" customHeight="1" s="35"/>
    <row r="955" ht="14.25" customHeight="1" s="35"/>
    <row r="956" ht="14.25" customHeight="1" s="35"/>
    <row r="957" ht="14.25" customHeight="1" s="35"/>
    <row r="958" ht="14.25" customHeight="1" s="35"/>
    <row r="959" ht="14.25" customHeight="1" s="35"/>
    <row r="960" ht="14.25" customHeight="1" s="35"/>
    <row r="961" ht="14.25" customHeight="1" s="35"/>
    <row r="962" ht="14.25" customHeight="1" s="35"/>
    <row r="963" ht="14.25" customHeight="1" s="35"/>
    <row r="964" ht="14.25" customHeight="1" s="35"/>
    <row r="965" ht="14.25" customHeight="1" s="35"/>
    <row r="966" ht="14.25" customHeight="1" s="35"/>
    <row r="967" ht="14.25" customHeight="1" s="35"/>
    <row r="968" ht="14.25" customHeight="1" s="35"/>
    <row r="969" ht="14.25" customHeight="1" s="35"/>
    <row r="970" ht="14.25" customHeight="1" s="35"/>
    <row r="971" ht="14.25" customHeight="1" s="35"/>
    <row r="972" ht="14.25" customHeight="1" s="35"/>
    <row r="973" ht="14.25" customHeight="1" s="35"/>
    <row r="974" ht="14.25" customHeight="1" s="35"/>
    <row r="975" ht="14.25" customHeight="1" s="35"/>
    <row r="976" ht="14.25" customHeight="1" s="35"/>
    <row r="977" ht="14.25" customHeight="1" s="35"/>
    <row r="978" ht="14.25" customHeight="1" s="35"/>
    <row r="979" ht="14.25" customHeight="1" s="35"/>
    <row r="980" ht="14.25" customHeight="1" s="35"/>
    <row r="981" ht="14.25" customHeight="1" s="35"/>
    <row r="982" ht="14.25" customHeight="1" s="35"/>
    <row r="983" ht="14.25" customHeight="1" s="35"/>
    <row r="984" ht="14.25" customHeight="1" s="35"/>
    <row r="985" ht="14.25" customHeight="1" s="35"/>
    <row r="986" ht="14.25" customHeight="1" s="35"/>
    <row r="987" ht="14.25" customHeight="1" s="35"/>
    <row r="988" ht="14.25" customHeight="1" s="35"/>
    <row r="989" ht="14.25" customHeight="1" s="35"/>
    <row r="990" ht="14.25" customHeight="1" s="35"/>
    <row r="991" ht="14.25" customHeight="1" s="35"/>
    <row r="992" ht="14.25" customHeight="1" s="35"/>
    <row r="993" ht="14.25" customHeight="1" s="35"/>
    <row r="994" ht="14.25" customHeight="1" s="35"/>
    <row r="995" ht="14.25" customHeight="1" s="35"/>
    <row r="996" ht="14.25" customHeight="1" s="35"/>
    <row r="997" ht="14.25" customHeight="1" s="35"/>
    <row r="998" ht="14.25" customHeight="1" s="35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3"/>
  <sheetViews>
    <sheetView topLeftCell="B1" workbookViewId="0">
      <selection activeCell="A1" sqref="A1"/>
    </sheetView>
  </sheetViews>
  <sheetFormatPr baseColWidth="8" defaultColWidth="14.453125" defaultRowHeight="15" customHeight="1"/>
  <cols>
    <col hidden="1" width="8.81640625" customWidth="1" style="35" min="1" max="1"/>
    <col width="8.7265625" customWidth="1" style="35" min="2" max="3"/>
    <col width="25.81640625" customWidth="1" style="35" min="4" max="4"/>
    <col width="8.7265625" customWidth="1" style="35" min="5" max="26"/>
  </cols>
  <sheetData>
    <row r="1" ht="14.25" customHeight="1" s="35">
      <c r="B1" s="1" t="n"/>
      <c r="C1" s="1" t="n"/>
      <c r="D1" s="1" t="n"/>
    </row>
    <row r="2" ht="14.25" customHeight="1" s="35">
      <c r="B2" s="37" t="n"/>
      <c r="C2" s="39" t="n"/>
      <c r="D2" s="37" t="n"/>
      <c r="H2" s="3" t="inlineStr">
        <is>
          <t>Januari</t>
        </is>
      </c>
      <c r="I2" s="3" t="inlineStr">
        <is>
          <t>S</t>
        </is>
      </c>
      <c r="J2" s="3" t="inlineStr">
        <is>
          <t>PG</t>
        </is>
      </c>
    </row>
    <row r="3" ht="14.25" customHeight="1" s="35">
      <c r="B3" s="37" t="n"/>
      <c r="C3" s="37" t="n"/>
      <c r="D3" s="41" t="n"/>
      <c r="H3" s="3" t="inlineStr">
        <is>
          <t>Februari</t>
        </is>
      </c>
      <c r="I3" s="3" t="inlineStr">
        <is>
          <t>I</t>
        </is>
      </c>
      <c r="J3" s="3" t="inlineStr">
        <is>
          <t>TKA</t>
        </is>
      </c>
    </row>
    <row r="4" ht="14.25" customHeight="1" s="35">
      <c r="A4" s="3">
        <f>B4&amp;E4</f>
        <v/>
      </c>
      <c r="B4" s="9" t="n">
        <v>1</v>
      </c>
      <c r="C4" s="16" t="inlineStr">
        <is>
          <t>0221</t>
        </is>
      </c>
      <c r="D4" s="17" t="inlineStr">
        <is>
          <t>Edbert Reynaldo Lim</t>
        </is>
      </c>
      <c r="E4" s="4" t="inlineStr">
        <is>
          <t>PG</t>
        </is>
      </c>
      <c r="F4" s="4" t="inlineStr">
        <is>
          <t>Lina</t>
        </is>
      </c>
      <c r="H4" s="3" t="inlineStr">
        <is>
          <t>Maret</t>
        </is>
      </c>
      <c r="I4" s="3" t="inlineStr">
        <is>
          <t>A</t>
        </is>
      </c>
      <c r="J4" s="3" t="inlineStr">
        <is>
          <t>TKB1</t>
        </is>
      </c>
    </row>
    <row r="5" ht="14.25" customHeight="1" s="35">
      <c r="A5" s="3">
        <f>B5&amp;E5</f>
        <v/>
      </c>
      <c r="B5" s="9" t="n">
        <v>2</v>
      </c>
      <c r="C5" s="16" t="inlineStr">
        <is>
          <t>0228</t>
        </is>
      </c>
      <c r="D5" s="18" t="inlineStr">
        <is>
          <t>Axelle Tiandra Ong</t>
        </is>
      </c>
      <c r="E5" s="4" t="inlineStr">
        <is>
          <t>PG</t>
        </is>
      </c>
      <c r="F5" s="4" t="inlineStr">
        <is>
          <t>Lina</t>
        </is>
      </c>
      <c r="H5" s="3" t="inlineStr">
        <is>
          <t>April</t>
        </is>
      </c>
      <c r="I5" s="3" t="inlineStr">
        <is>
          <t>?</t>
        </is>
      </c>
      <c r="J5" s="3" t="inlineStr">
        <is>
          <t>TKB2</t>
        </is>
      </c>
    </row>
    <row r="6" ht="14.25" customHeight="1" s="35">
      <c r="A6" s="3">
        <f>B6&amp;E6</f>
        <v/>
      </c>
      <c r="B6" s="9" t="n">
        <v>3</v>
      </c>
      <c r="C6" s="16" t="inlineStr">
        <is>
          <t>0229</t>
        </is>
      </c>
      <c r="D6" s="18" t="inlineStr">
        <is>
          <t>Carencya Chailinskie</t>
        </is>
      </c>
      <c r="E6" s="4" t="inlineStr">
        <is>
          <t>PG</t>
        </is>
      </c>
      <c r="F6" s="4" t="inlineStr">
        <is>
          <t>Lina</t>
        </is>
      </c>
      <c r="H6" s="3" t="inlineStr">
        <is>
          <t>Mei</t>
        </is>
      </c>
      <c r="I6" s="3" t="inlineStr">
        <is>
          <t>.</t>
        </is>
      </c>
    </row>
    <row r="7" ht="14.25" customHeight="1" s="35">
      <c r="A7" s="3">
        <f>B7&amp;E7</f>
        <v/>
      </c>
      <c r="B7" s="9" t="n">
        <v>4</v>
      </c>
      <c r="C7" s="16" t="inlineStr">
        <is>
          <t>0230</t>
        </is>
      </c>
      <c r="D7" s="19" t="inlineStr">
        <is>
          <t>Elvano Leonardi</t>
        </is>
      </c>
      <c r="E7" s="4" t="inlineStr">
        <is>
          <t>PG</t>
        </is>
      </c>
      <c r="F7" s="4" t="inlineStr">
        <is>
          <t>Lina</t>
        </is>
      </c>
      <c r="H7" s="3" t="inlineStr">
        <is>
          <t>Juni</t>
        </is>
      </c>
    </row>
    <row r="8" ht="14.25" customHeight="1" s="35">
      <c r="A8" s="3">
        <f>B8&amp;E8</f>
        <v/>
      </c>
      <c r="B8" s="9" t="n">
        <v>5</v>
      </c>
      <c r="C8" s="16" t="inlineStr">
        <is>
          <t>0231</t>
        </is>
      </c>
      <c r="D8" s="19" t="inlineStr">
        <is>
          <t xml:space="preserve">Evano Ryu Tanzil </t>
        </is>
      </c>
      <c r="E8" s="4" t="inlineStr">
        <is>
          <t>PG</t>
        </is>
      </c>
      <c r="F8" s="4" t="inlineStr">
        <is>
          <t>Lina</t>
        </is>
      </c>
      <c r="H8" s="3" t="inlineStr">
        <is>
          <t>Juli</t>
        </is>
      </c>
    </row>
    <row r="9" ht="14.25" customHeight="1" s="35">
      <c r="A9" s="3">
        <f>B9&amp;E9</f>
        <v/>
      </c>
      <c r="B9" s="9" t="n">
        <v>6</v>
      </c>
      <c r="C9" s="16" t="inlineStr">
        <is>
          <t>0232</t>
        </is>
      </c>
      <c r="D9" s="19" t="inlineStr">
        <is>
          <t>Gareth Grealish Dharmawan</t>
        </is>
      </c>
      <c r="E9" s="4" t="inlineStr">
        <is>
          <t>PG</t>
        </is>
      </c>
      <c r="F9" s="4" t="inlineStr">
        <is>
          <t>Lina</t>
        </is>
      </c>
      <c r="H9" s="3" t="inlineStr">
        <is>
          <t>Agustus</t>
        </is>
      </c>
    </row>
    <row r="10" ht="14.25" customHeight="1" s="35">
      <c r="A10" s="3">
        <f>B10&amp;E10</f>
        <v/>
      </c>
      <c r="B10" s="9" t="n">
        <v>7</v>
      </c>
      <c r="C10" s="16" t="inlineStr">
        <is>
          <t>0233</t>
        </is>
      </c>
      <c r="D10" s="20" t="inlineStr">
        <is>
          <t>Joverick Walton</t>
        </is>
      </c>
      <c r="E10" s="4" t="inlineStr">
        <is>
          <t>PG</t>
        </is>
      </c>
      <c r="F10" s="4" t="inlineStr">
        <is>
          <t>Lina</t>
        </is>
      </c>
      <c r="H10" s="3" t="inlineStr">
        <is>
          <t>September</t>
        </is>
      </c>
    </row>
    <row r="11" ht="14.25" customHeight="1" s="35">
      <c r="A11" s="3">
        <f>B11&amp;E11</f>
        <v/>
      </c>
      <c r="B11" s="9" t="n">
        <v>8</v>
      </c>
      <c r="C11" s="16" t="inlineStr">
        <is>
          <t>0234</t>
        </is>
      </c>
      <c r="D11" s="19" t="inlineStr">
        <is>
          <t>Kaylyn Gavril Winlie</t>
        </is>
      </c>
      <c r="E11" s="4" t="inlineStr">
        <is>
          <t>PG</t>
        </is>
      </c>
      <c r="F11" s="4" t="inlineStr">
        <is>
          <t>Lina</t>
        </is>
      </c>
      <c r="H11" s="3" t="inlineStr">
        <is>
          <t>Oktober</t>
        </is>
      </c>
    </row>
    <row r="12" ht="14.25" customHeight="1" s="35">
      <c r="A12" s="3">
        <f>B12&amp;E12</f>
        <v/>
      </c>
      <c r="B12" s="9" t="n">
        <v>9</v>
      </c>
      <c r="C12" s="16" t="inlineStr">
        <is>
          <t>0235</t>
        </is>
      </c>
      <c r="D12" s="19" t="inlineStr">
        <is>
          <t>Rachel Crystaline Benyamin</t>
        </is>
      </c>
      <c r="E12" s="4" t="inlineStr">
        <is>
          <t>PG</t>
        </is>
      </c>
      <c r="F12" s="4" t="inlineStr">
        <is>
          <t>Lina</t>
        </is>
      </c>
      <c r="H12" s="3" t="inlineStr">
        <is>
          <t>November</t>
        </is>
      </c>
    </row>
    <row r="13" ht="14.25" customHeight="1" s="35">
      <c r="A13" s="3">
        <f>B13&amp;E13</f>
        <v/>
      </c>
      <c r="B13" s="9" t="n">
        <v>10</v>
      </c>
      <c r="C13" s="16" t="inlineStr">
        <is>
          <t>0236</t>
        </is>
      </c>
      <c r="D13" s="19" t="inlineStr">
        <is>
          <t>Rachel Veisya Chan</t>
        </is>
      </c>
      <c r="E13" s="4" t="inlineStr">
        <is>
          <t>PG</t>
        </is>
      </c>
      <c r="F13" s="4" t="inlineStr">
        <is>
          <t>Lina</t>
        </is>
      </c>
      <c r="H13" s="3" t="inlineStr">
        <is>
          <t>Desember</t>
        </is>
      </c>
    </row>
    <row r="14" ht="14.25" customHeight="1" s="35">
      <c r="A14" s="3">
        <f>B14&amp;E14</f>
        <v/>
      </c>
      <c r="B14" s="9" t="n">
        <v>11</v>
      </c>
      <c r="C14" s="16" t="inlineStr">
        <is>
          <t>0237</t>
        </is>
      </c>
      <c r="D14" s="19" t="inlineStr">
        <is>
          <t>Rachellyn Gracia Chindra</t>
        </is>
      </c>
      <c r="E14" s="4" t="inlineStr">
        <is>
          <t>PG</t>
        </is>
      </c>
      <c r="F14" s="4" t="inlineStr">
        <is>
          <t>Lina</t>
        </is>
      </c>
    </row>
    <row r="15" ht="14.25" customHeight="1" s="35">
      <c r="A15" s="3">
        <f>B15&amp;E15</f>
        <v/>
      </c>
      <c r="B15" s="9" t="n">
        <v>12</v>
      </c>
      <c r="C15" s="9" t="n"/>
      <c r="D15" s="21" t="inlineStr">
        <is>
          <t>Roderick Yang</t>
        </is>
      </c>
      <c r="E15" s="4" t="inlineStr">
        <is>
          <t>PG</t>
        </is>
      </c>
      <c r="F15" s="4" t="inlineStr">
        <is>
          <t>Lina</t>
        </is>
      </c>
    </row>
    <row r="16" ht="14.25" customHeight="1" s="35">
      <c r="A16" s="3">
        <f>B16&amp;E16</f>
        <v/>
      </c>
    </row>
    <row r="17" ht="14.25" customHeight="1" s="35">
      <c r="A17" s="3">
        <f>B17&amp;E17</f>
        <v/>
      </c>
    </row>
    <row r="18" ht="14.25" customHeight="1" s="35">
      <c r="A18" s="3">
        <f>B18&amp;E18</f>
        <v/>
      </c>
    </row>
    <row r="19" ht="14.25" customHeight="1" s="35">
      <c r="A19" s="3">
        <f>B19&amp;E19</f>
        <v/>
      </c>
      <c r="B19" s="9" t="n">
        <v>1</v>
      </c>
      <c r="C19" s="9" t="n">
        <v>1505</v>
      </c>
      <c r="D19" s="17" t="inlineStr">
        <is>
          <t>Aldrich Bona Munson Nababan</t>
        </is>
      </c>
      <c r="E19" s="4" t="inlineStr">
        <is>
          <t>TKA</t>
        </is>
      </c>
      <c r="F19" s="4" t="inlineStr">
        <is>
          <t>Elizabet, S.Pd.</t>
        </is>
      </c>
    </row>
    <row r="20" ht="14.25" customHeight="1" s="35">
      <c r="A20" s="3">
        <f>B20&amp;E20</f>
        <v/>
      </c>
      <c r="B20" s="9" t="n">
        <v>2</v>
      </c>
      <c r="C20" s="9" t="n">
        <v>1506</v>
      </c>
      <c r="D20" s="17" t="inlineStr">
        <is>
          <t>Azka Andreas</t>
        </is>
      </c>
      <c r="E20" s="4" t="inlineStr">
        <is>
          <t>TKA</t>
        </is>
      </c>
      <c r="F20" s="4" t="inlineStr">
        <is>
          <t>Elizabet, S.Pd.</t>
        </is>
      </c>
    </row>
    <row r="21" ht="14.25" customHeight="1" s="35">
      <c r="A21" s="3">
        <f>B21&amp;E21</f>
        <v/>
      </c>
      <c r="B21" s="9" t="n">
        <v>3</v>
      </c>
      <c r="C21" s="9" t="n">
        <v>1507</v>
      </c>
      <c r="D21" s="20" t="inlineStr">
        <is>
          <t>Celine Grace Zhang</t>
        </is>
      </c>
      <c r="E21" s="4" t="inlineStr">
        <is>
          <t>TKA</t>
        </is>
      </c>
      <c r="F21" s="4" t="inlineStr">
        <is>
          <t>Elizabet, S.Pd.</t>
        </is>
      </c>
    </row>
    <row r="22" ht="14.25" customHeight="1" s="35">
      <c r="A22" s="3">
        <f>B22&amp;E22</f>
        <v/>
      </c>
      <c r="B22" s="9" t="n">
        <v>4</v>
      </c>
      <c r="C22" s="9" t="n">
        <v>1508</v>
      </c>
      <c r="D22" s="17" t="inlineStr">
        <is>
          <t>Clarence Queenicca Zhang</t>
        </is>
      </c>
      <c r="E22" s="4" t="inlineStr">
        <is>
          <t>TKA</t>
        </is>
      </c>
      <c r="F22" s="4" t="inlineStr">
        <is>
          <t>Elizabet, S.Pd.</t>
        </is>
      </c>
    </row>
    <row r="23" ht="14.25" customHeight="1" s="35">
      <c r="A23" s="3">
        <f>B23&amp;E23</f>
        <v/>
      </c>
      <c r="B23" s="9" t="n">
        <v>5</v>
      </c>
      <c r="C23" s="9" t="n">
        <v>1509</v>
      </c>
      <c r="D23" s="17" t="inlineStr">
        <is>
          <t>Clarissa Jovanka Sugiharto</t>
        </is>
      </c>
      <c r="E23" s="4" t="inlineStr">
        <is>
          <t>TKA</t>
        </is>
      </c>
      <c r="F23" s="4" t="inlineStr">
        <is>
          <t>Elizabet, S.Pd.</t>
        </is>
      </c>
    </row>
    <row r="24" ht="14.25" customHeight="1" s="35">
      <c r="A24" s="3">
        <f>B24&amp;E24</f>
        <v/>
      </c>
      <c r="B24" s="9" t="n">
        <v>6</v>
      </c>
      <c r="C24" s="9" t="n">
        <v>1510</v>
      </c>
      <c r="D24" s="17" t="inlineStr">
        <is>
          <t>Clarissa Lim</t>
        </is>
      </c>
      <c r="E24" s="4" t="inlineStr">
        <is>
          <t>TKA</t>
        </is>
      </c>
      <c r="F24" s="4" t="inlineStr">
        <is>
          <t>Elizabet, S.Pd.</t>
        </is>
      </c>
    </row>
    <row r="25" ht="14.25" customHeight="1" s="35">
      <c r="A25" s="3">
        <f>B25&amp;E25</f>
        <v/>
      </c>
      <c r="B25" s="9" t="n">
        <v>7</v>
      </c>
      <c r="C25" s="9" t="n">
        <v>1511</v>
      </c>
      <c r="D25" s="20" t="inlineStr">
        <is>
          <t>Clarita Olivia Sinaga</t>
        </is>
      </c>
      <c r="E25" s="4" t="inlineStr">
        <is>
          <t>TKA</t>
        </is>
      </c>
      <c r="F25" s="4" t="inlineStr">
        <is>
          <t>Elizabet, S.Pd.</t>
        </is>
      </c>
    </row>
    <row r="26" ht="14.25" customHeight="1" s="35">
      <c r="A26" s="3">
        <f>B26&amp;E26</f>
        <v/>
      </c>
      <c r="B26" s="9" t="n">
        <v>8</v>
      </c>
      <c r="C26" s="9" t="n">
        <v>1512</v>
      </c>
      <c r="D26" s="20" t="inlineStr">
        <is>
          <t>Coryn Aurora Zhan</t>
        </is>
      </c>
      <c r="E26" s="4" t="inlineStr">
        <is>
          <t>TKA</t>
        </is>
      </c>
      <c r="F26" s="4" t="inlineStr">
        <is>
          <t>Elizabet, S.Pd.</t>
        </is>
      </c>
    </row>
    <row r="27" ht="14.25" customHeight="1" s="35">
      <c r="A27" s="3">
        <f>B27&amp;E27</f>
        <v/>
      </c>
      <c r="B27" s="9" t="n">
        <v>9</v>
      </c>
      <c r="C27" s="9" t="n">
        <v>1513</v>
      </c>
      <c r="D27" s="17" t="inlineStr">
        <is>
          <t>Darren Elvano</t>
        </is>
      </c>
      <c r="E27" s="4" t="inlineStr">
        <is>
          <t>TKA</t>
        </is>
      </c>
      <c r="F27" s="4" t="inlineStr">
        <is>
          <t>Elizabet, S.Pd.</t>
        </is>
      </c>
    </row>
    <row r="28" ht="14.25" customHeight="1" s="35">
      <c r="A28" s="3">
        <f>B28&amp;E28</f>
        <v/>
      </c>
      <c r="B28" s="9" t="n">
        <v>10</v>
      </c>
      <c r="C28" s="9" t="n">
        <v>1514</v>
      </c>
      <c r="D28" s="20" t="inlineStr">
        <is>
          <t>Darren Tristan</t>
        </is>
      </c>
      <c r="E28" s="4" t="inlineStr">
        <is>
          <t>TKA</t>
        </is>
      </c>
      <c r="F28" s="4" t="inlineStr">
        <is>
          <t>Elizabet, S.Pd.</t>
        </is>
      </c>
    </row>
    <row r="29" ht="14.25" customHeight="1" s="35">
      <c r="A29" s="3">
        <f>B29&amp;E29</f>
        <v/>
      </c>
      <c r="B29" s="9" t="n">
        <v>11</v>
      </c>
      <c r="C29" s="9" t="n">
        <v>1515</v>
      </c>
      <c r="D29" s="17" t="inlineStr">
        <is>
          <t>Davian Kenrick Lu</t>
        </is>
      </c>
      <c r="E29" s="4" t="inlineStr">
        <is>
          <t>TKA</t>
        </is>
      </c>
      <c r="F29" s="4" t="inlineStr">
        <is>
          <t>Elizabet, S.Pd.</t>
        </is>
      </c>
    </row>
    <row r="30" ht="14.25" customHeight="1" s="35">
      <c r="A30" s="3">
        <f>B30&amp;E30</f>
        <v/>
      </c>
      <c r="B30" s="9" t="n">
        <v>12</v>
      </c>
      <c r="C30" s="9" t="n">
        <v>1516</v>
      </c>
      <c r="D30" s="17" t="inlineStr">
        <is>
          <t>Devan Ivander Siahaan</t>
        </is>
      </c>
      <c r="E30" s="4" t="inlineStr">
        <is>
          <t>TKA</t>
        </is>
      </c>
      <c r="F30" s="4" t="inlineStr">
        <is>
          <t>Elizabet, S.Pd.</t>
        </is>
      </c>
    </row>
    <row r="31" ht="14.25" customHeight="1" s="35">
      <c r="A31" s="3">
        <f>B31&amp;E31</f>
        <v/>
      </c>
      <c r="B31" s="9" t="n">
        <v>13</v>
      </c>
      <c r="C31" s="9" t="n">
        <v>1517</v>
      </c>
      <c r="D31" s="20" t="inlineStr">
        <is>
          <t>Elsa Harianja</t>
        </is>
      </c>
      <c r="E31" s="4" t="inlineStr">
        <is>
          <t>TKA</t>
        </is>
      </c>
      <c r="F31" s="4" t="inlineStr">
        <is>
          <t>Elizabet, S.Pd.</t>
        </is>
      </c>
    </row>
    <row r="32" ht="14.25" customHeight="1" s="35">
      <c r="A32" s="3">
        <f>B32&amp;E32</f>
        <v/>
      </c>
      <c r="B32" s="9" t="n">
        <v>14</v>
      </c>
      <c r="C32" s="9" t="n">
        <v>1518</v>
      </c>
      <c r="D32" s="20" t="inlineStr">
        <is>
          <t>Ferencia Lu</t>
        </is>
      </c>
      <c r="E32" s="4" t="inlineStr">
        <is>
          <t>TKA</t>
        </is>
      </c>
      <c r="F32" s="4" t="inlineStr">
        <is>
          <t>Elizabet, S.Pd.</t>
        </is>
      </c>
    </row>
    <row r="33" ht="14.25" customHeight="1" s="35">
      <c r="A33" s="3">
        <f>B33&amp;E33</f>
        <v/>
      </c>
      <c r="B33" s="9" t="n">
        <v>15</v>
      </c>
      <c r="C33" s="9" t="n">
        <v>1519</v>
      </c>
      <c r="D33" s="17" t="inlineStr">
        <is>
          <t>Jemia Zhevano Yamresa Kembaren</t>
        </is>
      </c>
      <c r="E33" s="4" t="inlineStr">
        <is>
          <t>TKA</t>
        </is>
      </c>
      <c r="F33" s="4" t="inlineStr">
        <is>
          <t>Elizabet, S.Pd.</t>
        </is>
      </c>
    </row>
    <row r="34" ht="14.25" customHeight="1" s="35">
      <c r="A34" s="3">
        <f>B34&amp;E34</f>
        <v/>
      </c>
      <c r="B34" s="9" t="n">
        <v>16</v>
      </c>
      <c r="C34" s="9" t="n">
        <v>1520</v>
      </c>
      <c r="D34" s="20" t="inlineStr">
        <is>
          <t>Jocelyn Marcella Su</t>
        </is>
      </c>
      <c r="E34" s="4" t="inlineStr">
        <is>
          <t>TKA</t>
        </is>
      </c>
      <c r="F34" s="4" t="inlineStr">
        <is>
          <t>Elizabet, S.Pd.</t>
        </is>
      </c>
    </row>
    <row r="35" ht="14.25" customHeight="1" s="35">
      <c r="A35" s="3">
        <f>B35&amp;E35</f>
        <v/>
      </c>
      <c r="B35" s="9" t="n">
        <v>17</v>
      </c>
      <c r="C35" s="9" t="n">
        <v>1521</v>
      </c>
      <c r="D35" s="17" t="inlineStr">
        <is>
          <t>Joevanca Chesa Athalia</t>
        </is>
      </c>
      <c r="E35" s="4" t="inlineStr">
        <is>
          <t>TKA</t>
        </is>
      </c>
      <c r="F35" s="4" t="inlineStr">
        <is>
          <t>Elizabet, S.Pd.</t>
        </is>
      </c>
    </row>
    <row r="36" ht="14.25" customHeight="1" s="35">
      <c r="A36" s="3">
        <f>B36&amp;E36</f>
        <v/>
      </c>
      <c r="B36" s="9" t="n">
        <v>18</v>
      </c>
      <c r="C36" s="9" t="n">
        <v>1522</v>
      </c>
      <c r="D36" s="17" t="inlineStr">
        <is>
          <t>Kayla Hosanna Charissa Sihombing</t>
        </is>
      </c>
      <c r="E36" s="4" t="inlineStr">
        <is>
          <t>TKA</t>
        </is>
      </c>
      <c r="F36" s="4" t="inlineStr">
        <is>
          <t>Elizabet, S.Pd.</t>
        </is>
      </c>
    </row>
    <row r="37" ht="14.25" customHeight="1" s="35">
      <c r="A37" s="3">
        <f>B37&amp;E37</f>
        <v/>
      </c>
      <c r="B37" s="9" t="n">
        <v>19</v>
      </c>
      <c r="C37" s="9" t="n">
        <v>1523</v>
      </c>
      <c r="D37" s="17" t="inlineStr">
        <is>
          <t>Keilyn Queensha Ong</t>
        </is>
      </c>
      <c r="E37" s="4" t="inlineStr">
        <is>
          <t>TKA</t>
        </is>
      </c>
      <c r="F37" s="4" t="inlineStr">
        <is>
          <t>Elizabet, S.Pd.</t>
        </is>
      </c>
    </row>
    <row r="38" ht="14.25" customHeight="1" s="35">
      <c r="A38" s="3">
        <f>B38&amp;E38</f>
        <v/>
      </c>
      <c r="B38" s="9" t="n">
        <v>20</v>
      </c>
      <c r="C38" s="9" t="n">
        <v>1524</v>
      </c>
      <c r="D38" s="17" t="inlineStr">
        <is>
          <t>Keyla Toshiro</t>
        </is>
      </c>
      <c r="E38" s="4" t="inlineStr">
        <is>
          <t>TKA</t>
        </is>
      </c>
      <c r="F38" s="4" t="inlineStr">
        <is>
          <t>Elizabet, S.Pd.</t>
        </is>
      </c>
    </row>
    <row r="39" ht="14.25" customHeight="1" s="35">
      <c r="A39" s="3">
        <f>B39&amp;E39</f>
        <v/>
      </c>
      <c r="B39" s="9" t="n">
        <v>21</v>
      </c>
      <c r="C39" s="9" t="n">
        <v>1525</v>
      </c>
      <c r="D39" s="20" t="inlineStr">
        <is>
          <t>Liora Eliana Panjaitan</t>
        </is>
      </c>
      <c r="E39" s="4" t="inlineStr">
        <is>
          <t>TKA</t>
        </is>
      </c>
      <c r="F39" s="4" t="inlineStr">
        <is>
          <t>Elizabet, S.Pd.</t>
        </is>
      </c>
    </row>
    <row r="40" ht="14.25" customHeight="1" s="35">
      <c r="A40" s="3">
        <f>B40&amp;E40</f>
        <v/>
      </c>
      <c r="B40" s="9" t="n">
        <v>22</v>
      </c>
      <c r="C40" s="9" t="n">
        <v>1526</v>
      </c>
      <c r="D40" s="17" t="inlineStr">
        <is>
          <t>Lishaalini Krisna Naidu</t>
        </is>
      </c>
      <c r="E40" s="4" t="inlineStr">
        <is>
          <t>TKA</t>
        </is>
      </c>
      <c r="F40" s="4" t="inlineStr">
        <is>
          <t>Elizabet, S.Pd.</t>
        </is>
      </c>
    </row>
    <row r="41" ht="14.25" customHeight="1" s="35">
      <c r="A41" s="3">
        <f>B41&amp;E41</f>
        <v/>
      </c>
      <c r="B41" s="9" t="n">
        <v>23</v>
      </c>
      <c r="C41" s="9" t="n">
        <v>1527</v>
      </c>
      <c r="D41" s="20" t="inlineStr">
        <is>
          <t>Melviano Arentino Wijaya</t>
        </is>
      </c>
      <c r="E41" s="4" t="inlineStr">
        <is>
          <t>TKA</t>
        </is>
      </c>
      <c r="F41" s="4" t="inlineStr">
        <is>
          <t>Elizabet, S.Pd.</t>
        </is>
      </c>
    </row>
    <row r="42" ht="14.25" customHeight="1" s="35">
      <c r="A42" s="3">
        <f>B42&amp;E42</f>
        <v/>
      </c>
      <c r="B42" s="9" t="n">
        <v>24</v>
      </c>
      <c r="C42" s="9" t="n">
        <v>1528</v>
      </c>
      <c r="D42" s="17" t="inlineStr">
        <is>
          <t>Queenly Nathaniela</t>
        </is>
      </c>
      <c r="E42" s="4" t="inlineStr">
        <is>
          <t>TKA</t>
        </is>
      </c>
      <c r="F42" s="4" t="inlineStr">
        <is>
          <t>Elizabet, S.Pd.</t>
        </is>
      </c>
    </row>
    <row r="43" ht="14.25" customHeight="1" s="35">
      <c r="A43" s="3">
        <f>B43&amp;E43</f>
        <v/>
      </c>
      <c r="B43" s="9" t="n">
        <v>25</v>
      </c>
      <c r="C43" s="9" t="n">
        <v>1529</v>
      </c>
      <c r="D43" s="20" t="inlineStr">
        <is>
          <t>Richelcia Wijaya</t>
        </is>
      </c>
      <c r="E43" s="4" t="inlineStr">
        <is>
          <t>TKA</t>
        </is>
      </c>
      <c r="F43" s="4" t="inlineStr">
        <is>
          <t>Elizabet, S.Pd.</t>
        </is>
      </c>
    </row>
    <row r="44" ht="14.25" customHeight="1" s="35">
      <c r="A44" s="3">
        <f>B44&amp;E44</f>
        <v/>
      </c>
      <c r="B44" s="9" t="n">
        <v>26</v>
      </c>
      <c r="C44" s="9" t="n">
        <v>1530</v>
      </c>
      <c r="D44" s="20" t="inlineStr">
        <is>
          <t>Ricson Valenthino</t>
        </is>
      </c>
      <c r="E44" s="4" t="inlineStr">
        <is>
          <t>TKA</t>
        </is>
      </c>
      <c r="F44" s="4" t="inlineStr">
        <is>
          <t>Elizabet, S.Pd.</t>
        </is>
      </c>
    </row>
    <row r="45" ht="14.25" customHeight="1" s="35">
      <c r="A45" s="3">
        <f>B45&amp;E45</f>
        <v/>
      </c>
      <c r="B45" s="9" t="n">
        <v>27</v>
      </c>
      <c r="C45" s="9" t="n">
        <v>1531</v>
      </c>
      <c r="D45" s="17" t="inlineStr">
        <is>
          <t>Rui Reynara Shen</t>
        </is>
      </c>
      <c r="E45" s="4" t="inlineStr">
        <is>
          <t>TKA</t>
        </is>
      </c>
      <c r="F45" s="4" t="inlineStr">
        <is>
          <t>Elizabet, S.Pd.</t>
        </is>
      </c>
    </row>
    <row r="46" ht="14.25" customHeight="1" s="35">
      <c r="A46" s="3">
        <f>B46&amp;E46</f>
        <v/>
      </c>
      <c r="B46" s="9" t="n">
        <v>28</v>
      </c>
      <c r="C46" s="9" t="n">
        <v>1532</v>
      </c>
      <c r="D46" s="17" t="inlineStr">
        <is>
          <t>Shane Michael Lienardie</t>
        </is>
      </c>
      <c r="E46" s="4" t="inlineStr">
        <is>
          <t>TKA</t>
        </is>
      </c>
      <c r="F46" s="4" t="inlineStr">
        <is>
          <t>Elizabet, S.Pd.</t>
        </is>
      </c>
    </row>
    <row r="47" ht="14.25" customHeight="1" s="35">
      <c r="A47" s="3">
        <f>B47&amp;E47</f>
        <v/>
      </c>
      <c r="B47" s="9" t="n">
        <v>29</v>
      </c>
      <c r="C47" s="9" t="n">
        <v>1533</v>
      </c>
      <c r="D47" s="20" t="inlineStr">
        <is>
          <t>Shelomitha Eliora Simanjuntak</t>
        </is>
      </c>
      <c r="E47" s="4" t="inlineStr">
        <is>
          <t>TKA</t>
        </is>
      </c>
      <c r="F47" s="4" t="inlineStr">
        <is>
          <t>Elizabet, S.Pd.</t>
        </is>
      </c>
    </row>
    <row r="48" ht="14.25" customHeight="1" s="35">
      <c r="A48" s="3">
        <f>B48&amp;E48</f>
        <v/>
      </c>
      <c r="B48" s="9" t="n">
        <v>30</v>
      </c>
      <c r="C48" s="9" t="n">
        <v>1534</v>
      </c>
      <c r="D48" s="20" t="inlineStr">
        <is>
          <t>Willian Geoffrey Utama</t>
        </is>
      </c>
      <c r="E48" s="4" t="inlineStr">
        <is>
          <t>TKA</t>
        </is>
      </c>
      <c r="F48" s="4" t="inlineStr">
        <is>
          <t>Elizabet, S.Pd.</t>
        </is>
      </c>
    </row>
    <row r="49" ht="14.25" customHeight="1" s="35">
      <c r="A49" s="3">
        <f>B49&amp;E49</f>
        <v/>
      </c>
      <c r="B49" s="22" t="n">
        <v>31</v>
      </c>
      <c r="C49" s="23" t="n"/>
      <c r="D49" s="24" t="n"/>
    </row>
    <row r="50" ht="14.25" customHeight="1" s="35">
      <c r="A50" s="3">
        <f>B50&amp;E50</f>
        <v/>
      </c>
      <c r="B50" s="22" t="n">
        <v>32</v>
      </c>
      <c r="C50" s="22" t="n"/>
      <c r="D50" s="24" t="n"/>
    </row>
    <row r="51" ht="14.25" customHeight="1" s="35">
      <c r="A51" s="3">
        <f>B51&amp;E51</f>
        <v/>
      </c>
      <c r="B51" s="22" t="n">
        <v>33</v>
      </c>
      <c r="C51" s="24" t="n"/>
      <c r="D51" s="24" t="n"/>
    </row>
    <row r="52" ht="14.25" customHeight="1" s="35">
      <c r="A52" s="3">
        <f>B52&amp;E52</f>
        <v/>
      </c>
    </row>
    <row r="53" ht="14.25" customHeight="1" s="35">
      <c r="A53" s="3">
        <f>B53&amp;E53</f>
        <v/>
      </c>
    </row>
    <row r="54" ht="14.25" customHeight="1" s="35">
      <c r="A54" s="3">
        <f>B54&amp;E54</f>
        <v/>
      </c>
    </row>
    <row r="55" ht="14.25" customHeight="1" s="35">
      <c r="A55" s="3">
        <f>B55&amp;E55</f>
        <v/>
      </c>
    </row>
    <row r="56" ht="14.25" customHeight="1" s="35">
      <c r="A56" s="3">
        <f>B56&amp;E56</f>
        <v/>
      </c>
    </row>
    <row r="57" ht="14.25" customHeight="1" s="35">
      <c r="A57" s="3">
        <f>B57&amp;E57</f>
        <v/>
      </c>
    </row>
    <row r="58" ht="14.25" customHeight="1" s="35">
      <c r="A58" s="3">
        <f>B58&amp;E58</f>
        <v/>
      </c>
      <c r="B58" s="9" t="n">
        <v>1</v>
      </c>
      <c r="C58" s="9" t="n">
        <v>1439</v>
      </c>
      <c r="D58" s="25" t="inlineStr">
        <is>
          <t>Kyla Nathania Chang</t>
        </is>
      </c>
      <c r="E58" s="4" t="inlineStr">
        <is>
          <t>TKB1</t>
        </is>
      </c>
      <c r="F58" s="4" t="inlineStr">
        <is>
          <t>Juliana Krisnawati Saragih, S.Si.</t>
        </is>
      </c>
    </row>
    <row r="59" ht="14.25" customHeight="1" s="35">
      <c r="A59" s="3">
        <f>B59&amp;E59</f>
        <v/>
      </c>
      <c r="B59" s="9" t="n">
        <v>2</v>
      </c>
      <c r="C59" s="9" t="n">
        <v>1441</v>
      </c>
      <c r="D59" s="26" t="inlineStr">
        <is>
          <t>Muhammad Raffasya Aditya</t>
        </is>
      </c>
      <c r="E59" s="4" t="inlineStr">
        <is>
          <t>TKB1</t>
        </is>
      </c>
      <c r="F59" s="4" t="inlineStr">
        <is>
          <t>Juliana Krisnawati Saragih, S.Si.</t>
        </is>
      </c>
    </row>
    <row r="60" ht="14.25" customHeight="1" s="35">
      <c r="A60" s="3">
        <f>B60&amp;E60</f>
        <v/>
      </c>
      <c r="B60" s="9" t="n">
        <v>3</v>
      </c>
      <c r="C60" s="9" t="n">
        <v>1449</v>
      </c>
      <c r="D60" s="26" t="inlineStr">
        <is>
          <t>Valerie Tohvinsky</t>
        </is>
      </c>
      <c r="E60" s="4" t="inlineStr">
        <is>
          <t>TKB1</t>
        </is>
      </c>
      <c r="F60" s="4" t="inlineStr">
        <is>
          <t>Juliana Krisnawati Saragih, S.Si.</t>
        </is>
      </c>
    </row>
    <row r="61" ht="14.25" customHeight="1" s="35">
      <c r="A61" s="3">
        <f>B61&amp;E61</f>
        <v/>
      </c>
      <c r="B61" s="9" t="n">
        <v>4</v>
      </c>
      <c r="C61" s="9" t="n">
        <v>1450</v>
      </c>
      <c r="D61" s="27" t="inlineStr">
        <is>
          <t>Vincent Andreanus</t>
        </is>
      </c>
      <c r="E61" s="4" t="inlineStr">
        <is>
          <t>TKB1</t>
        </is>
      </c>
      <c r="F61" s="4" t="inlineStr">
        <is>
          <t>Juliana Krisnawati Saragih, S.Si.</t>
        </is>
      </c>
    </row>
    <row r="62" ht="14.25" customHeight="1" s="35">
      <c r="A62" s="3">
        <f>B62&amp;E62</f>
        <v/>
      </c>
      <c r="B62" s="9" t="n">
        <v>5</v>
      </c>
      <c r="C62" s="9" t="n">
        <v>1459</v>
      </c>
      <c r="D62" s="27" t="inlineStr">
        <is>
          <t>Edmond Axelle Chan</t>
        </is>
      </c>
      <c r="E62" s="4" t="inlineStr">
        <is>
          <t>TKB1</t>
        </is>
      </c>
      <c r="F62" s="4" t="inlineStr">
        <is>
          <t>Juliana Krisnawati Saragih, S.Si.</t>
        </is>
      </c>
    </row>
    <row r="63" ht="14.25" customHeight="1" s="35">
      <c r="A63" s="3">
        <f>B63&amp;E63</f>
        <v/>
      </c>
      <c r="B63" s="9" t="n">
        <v>6</v>
      </c>
      <c r="C63" s="9" t="n">
        <v>1473</v>
      </c>
      <c r="D63" s="26" t="inlineStr">
        <is>
          <t>Raileen Valerie Hugo</t>
        </is>
      </c>
      <c r="E63" s="4" t="inlineStr">
        <is>
          <t>TKB1</t>
        </is>
      </c>
      <c r="F63" s="4" t="inlineStr">
        <is>
          <t>Juliana Krisnawati Saragih, S.Si.</t>
        </is>
      </c>
    </row>
    <row r="64" ht="14.25" customHeight="1" s="35">
      <c r="A64" s="3">
        <f>B64&amp;E64</f>
        <v/>
      </c>
      <c r="B64" s="9" t="n">
        <v>7</v>
      </c>
      <c r="C64" s="28" t="n">
        <v>1476</v>
      </c>
      <c r="D64" s="27" t="inlineStr">
        <is>
          <t>Abraham Katikana Ginting</t>
        </is>
      </c>
      <c r="E64" s="4" t="inlineStr">
        <is>
          <t>TKB1</t>
        </is>
      </c>
      <c r="F64" s="4" t="inlineStr">
        <is>
          <t>Juliana Krisnawati Saragih, S.Si.</t>
        </is>
      </c>
    </row>
    <row r="65" ht="14.25" customHeight="1" s="35">
      <c r="A65" s="3">
        <f>B65&amp;E65</f>
        <v/>
      </c>
      <c r="B65" s="9" t="n">
        <v>8</v>
      </c>
      <c r="C65" s="9" t="n">
        <v>1477</v>
      </c>
      <c r="D65" s="26" t="inlineStr">
        <is>
          <t>Adelia Manuella Br. Butar-butar</t>
        </is>
      </c>
      <c r="E65" s="4" t="inlineStr">
        <is>
          <t>TKB1</t>
        </is>
      </c>
      <c r="F65" s="4" t="inlineStr">
        <is>
          <t>Juliana Krisnawati Saragih, S.Si.</t>
        </is>
      </c>
    </row>
    <row r="66" ht="14.25" customHeight="1" s="35">
      <c r="A66" s="3">
        <f>B66&amp;E66</f>
        <v/>
      </c>
      <c r="B66" s="9" t="n">
        <v>9</v>
      </c>
      <c r="C66" s="28" t="n">
        <v>1478</v>
      </c>
      <c r="D66" s="26" t="inlineStr">
        <is>
          <t>Arnold Johannes Lutan</t>
        </is>
      </c>
      <c r="E66" s="4" t="inlineStr">
        <is>
          <t>TKB1</t>
        </is>
      </c>
      <c r="F66" s="4" t="inlineStr">
        <is>
          <t>Juliana Krisnawati Saragih, S.Si.</t>
        </is>
      </c>
    </row>
    <row r="67" ht="14.25" customHeight="1" s="35">
      <c r="A67" s="3">
        <f>B67&amp;E67</f>
        <v/>
      </c>
      <c r="B67" s="9" t="n">
        <v>10</v>
      </c>
      <c r="C67" s="9" t="n">
        <v>1479</v>
      </c>
      <c r="D67" s="26" t="inlineStr">
        <is>
          <t>Bhaskara Salomo Siregar</t>
        </is>
      </c>
      <c r="E67" s="4" t="inlineStr">
        <is>
          <t>TKB1</t>
        </is>
      </c>
      <c r="F67" s="4" t="inlineStr">
        <is>
          <t>Juliana Krisnawati Saragih, S.Si.</t>
        </is>
      </c>
    </row>
    <row r="68" ht="14.25" customHeight="1" s="35">
      <c r="A68" s="3">
        <f>B68&amp;E68</f>
        <v/>
      </c>
      <c r="B68" s="9" t="n">
        <v>11</v>
      </c>
      <c r="C68" s="28" t="n">
        <v>1480</v>
      </c>
      <c r="D68" s="26" t="inlineStr">
        <is>
          <t>Darren Almero Chen</t>
        </is>
      </c>
      <c r="E68" s="4" t="inlineStr">
        <is>
          <t>TKB1</t>
        </is>
      </c>
      <c r="F68" s="4" t="inlineStr">
        <is>
          <t>Juliana Krisnawati Saragih, S.Si.</t>
        </is>
      </c>
    </row>
    <row r="69" ht="14.25" customHeight="1" s="35">
      <c r="A69" s="3">
        <f>B69&amp;E69</f>
        <v/>
      </c>
      <c r="B69" s="9" t="n">
        <v>12</v>
      </c>
      <c r="C69" s="9" t="n">
        <v>1481</v>
      </c>
      <c r="D69" s="26" t="inlineStr">
        <is>
          <t>Darren Hasiholan Nahulae</t>
        </is>
      </c>
      <c r="E69" s="4" t="inlineStr">
        <is>
          <t>TKB1</t>
        </is>
      </c>
      <c r="F69" s="4" t="inlineStr">
        <is>
          <t>Juliana Krisnawati Saragih, S.Si.</t>
        </is>
      </c>
    </row>
    <row r="70" ht="14.25" customHeight="1" s="35">
      <c r="A70" s="3">
        <f>B70&amp;E70</f>
        <v/>
      </c>
      <c r="B70" s="9" t="n">
        <v>13</v>
      </c>
      <c r="C70" s="28" t="n">
        <v>1482</v>
      </c>
      <c r="D70" s="26" t="inlineStr">
        <is>
          <t>Effendi</t>
        </is>
      </c>
      <c r="E70" s="4" t="inlineStr">
        <is>
          <t>TKB1</t>
        </is>
      </c>
      <c r="F70" s="4" t="inlineStr">
        <is>
          <t>Juliana Krisnawati Saragih, S.Si.</t>
        </is>
      </c>
    </row>
    <row r="71" ht="14.25" customHeight="1" s="35">
      <c r="A71" s="3">
        <f>B71&amp;E71</f>
        <v/>
      </c>
      <c r="B71" s="9" t="n">
        <v>14</v>
      </c>
      <c r="C71" s="9" t="n">
        <v>1483</v>
      </c>
      <c r="D71" s="26" t="inlineStr">
        <is>
          <t>Geonathan Samudra Simamora</t>
        </is>
      </c>
      <c r="E71" s="4" t="inlineStr">
        <is>
          <t>TKB1</t>
        </is>
      </c>
      <c r="F71" s="4" t="inlineStr">
        <is>
          <t>Juliana Krisnawati Saragih, S.Si.</t>
        </is>
      </c>
    </row>
    <row r="72" ht="14.25" customHeight="1" s="35">
      <c r="A72" s="3">
        <f>B72&amp;E72</f>
        <v/>
      </c>
      <c r="B72" s="9" t="n">
        <v>15</v>
      </c>
      <c r="C72" s="28" t="n">
        <v>1484</v>
      </c>
      <c r="D72" s="27" t="inlineStr">
        <is>
          <t>Gestalt Jesen Edellio Manurung</t>
        </is>
      </c>
      <c r="E72" s="4" t="inlineStr">
        <is>
          <t>TKB1</t>
        </is>
      </c>
      <c r="F72" s="4" t="inlineStr">
        <is>
          <t>Juliana Krisnawati Saragih, S.Si.</t>
        </is>
      </c>
    </row>
    <row r="73" ht="14.25" customHeight="1" s="35">
      <c r="A73" s="3">
        <f>B73&amp;E73</f>
        <v/>
      </c>
      <c r="B73" s="9" t="n">
        <v>16</v>
      </c>
      <c r="C73" s="9" t="n">
        <v>1485</v>
      </c>
      <c r="D73" s="27" t="inlineStr">
        <is>
          <t>Grace Felicia Simbolon</t>
        </is>
      </c>
      <c r="E73" s="4" t="inlineStr">
        <is>
          <t>TKB1</t>
        </is>
      </c>
      <c r="F73" s="4" t="inlineStr">
        <is>
          <t>Juliana Krisnawati Saragih, S.Si.</t>
        </is>
      </c>
    </row>
    <row r="74" ht="14.25" customHeight="1" s="35">
      <c r="A74" s="3">
        <f>B74&amp;E74</f>
        <v/>
      </c>
      <c r="B74" s="9" t="n">
        <v>17</v>
      </c>
      <c r="C74" s="28" t="n">
        <v>1486</v>
      </c>
      <c r="D74" s="26" t="inlineStr">
        <is>
          <t>Janeeta Elora Silaban</t>
        </is>
      </c>
      <c r="E74" s="4" t="inlineStr">
        <is>
          <t>TKB1</t>
        </is>
      </c>
      <c r="F74" s="4" t="inlineStr">
        <is>
          <t>Juliana Krisnawati Saragih, S.Si.</t>
        </is>
      </c>
    </row>
    <row r="75" ht="14.25" customHeight="1" s="35">
      <c r="A75" s="3">
        <f>B75&amp;E75</f>
        <v/>
      </c>
      <c r="B75" s="9" t="n">
        <v>18</v>
      </c>
      <c r="C75" s="9" t="n">
        <v>1487</v>
      </c>
      <c r="D75" s="27" t="inlineStr">
        <is>
          <t>Jayden Febrian Chai</t>
        </is>
      </c>
      <c r="E75" s="4" t="inlineStr">
        <is>
          <t>TKB1</t>
        </is>
      </c>
      <c r="F75" s="4" t="inlineStr">
        <is>
          <t>Juliana Krisnawati Saragih, S.Si.</t>
        </is>
      </c>
    </row>
    <row r="76" ht="14.25" customHeight="1" s="35">
      <c r="A76" s="3">
        <f>B76&amp;E76</f>
        <v/>
      </c>
      <c r="B76" s="9" t="n">
        <v>19</v>
      </c>
      <c r="C76" s="28" t="n">
        <v>1488</v>
      </c>
      <c r="D76" s="25" t="inlineStr">
        <is>
          <t>Jocelin Samosir</t>
        </is>
      </c>
      <c r="E76" s="4" t="inlineStr">
        <is>
          <t>TKB1</t>
        </is>
      </c>
      <c r="F76" s="4" t="inlineStr">
        <is>
          <t>Juliana Krisnawati Saragih, S.Si.</t>
        </is>
      </c>
    </row>
    <row r="77" ht="14.25" customHeight="1" s="35">
      <c r="A77" s="3">
        <f>B77&amp;E77</f>
        <v/>
      </c>
      <c r="B77" s="9" t="n">
        <v>20</v>
      </c>
      <c r="C77" s="9" t="n">
        <v>1489</v>
      </c>
      <c r="D77" s="27" t="inlineStr">
        <is>
          <t>Kartika Joceline Simanjuntak</t>
        </is>
      </c>
      <c r="E77" s="4" t="inlineStr">
        <is>
          <t>TKB1</t>
        </is>
      </c>
      <c r="F77" s="4" t="inlineStr">
        <is>
          <t>Juliana Krisnawati Saragih, S.Si.</t>
        </is>
      </c>
    </row>
    <row r="78" ht="14.25" customHeight="1" s="35">
      <c r="A78" s="3">
        <f>B78&amp;E78</f>
        <v/>
      </c>
      <c r="B78" s="9" t="n">
        <v>21</v>
      </c>
      <c r="C78" s="28" t="n">
        <v>1490</v>
      </c>
      <c r="D78" s="27" t="inlineStr">
        <is>
          <t>Larasaty Pramidita Sihite</t>
        </is>
      </c>
      <c r="E78" s="4" t="inlineStr">
        <is>
          <t>TKB1</t>
        </is>
      </c>
      <c r="F78" s="4" t="inlineStr">
        <is>
          <t>Juliana Krisnawati Saragih, S.Si.</t>
        </is>
      </c>
    </row>
    <row r="79" ht="14.25" customHeight="1" s="35">
      <c r="A79" s="3">
        <f>B79&amp;E79</f>
        <v/>
      </c>
      <c r="B79" s="9" t="n">
        <v>22</v>
      </c>
      <c r="C79" s="9" t="n">
        <v>1491</v>
      </c>
      <c r="D79" s="26" t="inlineStr">
        <is>
          <t>Michelle Angela Tan</t>
        </is>
      </c>
      <c r="E79" s="4" t="inlineStr">
        <is>
          <t>TKB1</t>
        </is>
      </c>
      <c r="F79" s="4" t="inlineStr">
        <is>
          <t>Juliana Krisnawati Saragih, S.Si.</t>
        </is>
      </c>
    </row>
    <row r="80" ht="14.25" customHeight="1" s="35">
      <c r="A80" s="3">
        <f>B80&amp;E80</f>
        <v/>
      </c>
      <c r="B80" s="9" t="n">
        <v>23</v>
      </c>
      <c r="C80" s="28" t="n">
        <v>1492</v>
      </c>
      <c r="D80" s="26" t="inlineStr">
        <is>
          <t>Mikhael Glorius Simbolon</t>
        </is>
      </c>
      <c r="E80" s="4" t="inlineStr">
        <is>
          <t>TKB1</t>
        </is>
      </c>
      <c r="F80" s="4" t="inlineStr">
        <is>
          <t>Juliana Krisnawati Saragih, S.Si.</t>
        </is>
      </c>
    </row>
    <row r="81" ht="14.25" customHeight="1" s="35">
      <c r="A81" s="3">
        <f>B81&amp;E81</f>
        <v/>
      </c>
      <c r="B81" s="9" t="n">
        <v>24</v>
      </c>
      <c r="C81" s="9" t="n">
        <v>1493</v>
      </c>
      <c r="D81" s="26" t="inlineStr">
        <is>
          <t>Naraya Elsandri Br. Sembiring</t>
        </is>
      </c>
      <c r="E81" s="4" t="inlineStr">
        <is>
          <t>TKB1</t>
        </is>
      </c>
      <c r="F81" s="4" t="inlineStr">
        <is>
          <t>Juliana Krisnawati Saragih, S.Si.</t>
        </is>
      </c>
    </row>
    <row r="82" ht="14.25" customHeight="1" s="35">
      <c r="A82" s="3">
        <f>B82&amp;E82</f>
        <v/>
      </c>
      <c r="B82" s="9" t="n">
        <v>25</v>
      </c>
      <c r="C82" s="28" t="n">
        <v>1494</v>
      </c>
      <c r="D82" s="27" t="inlineStr">
        <is>
          <t>Reinier Jackson Yaputra</t>
        </is>
      </c>
      <c r="E82" s="4" t="inlineStr">
        <is>
          <t>TKB1</t>
        </is>
      </c>
      <c r="F82" s="4" t="inlineStr">
        <is>
          <t>Juliana Krisnawati Saragih, S.Si.</t>
        </is>
      </c>
    </row>
    <row r="83" ht="14.25" customHeight="1" s="35">
      <c r="A83" s="3">
        <f>B83&amp;E83</f>
        <v/>
      </c>
      <c r="B83" s="9" t="n">
        <v>26</v>
      </c>
      <c r="C83" s="9" t="n">
        <v>1495</v>
      </c>
      <c r="D83" s="27" t="inlineStr">
        <is>
          <t>Rweno Richie</t>
        </is>
      </c>
      <c r="E83" s="4" t="inlineStr">
        <is>
          <t>TKB1</t>
        </is>
      </c>
      <c r="F83" s="4" t="inlineStr">
        <is>
          <t>Juliana Krisnawati Saragih, S.Si.</t>
        </is>
      </c>
    </row>
    <row r="84" ht="14.25" customHeight="1" s="35">
      <c r="A84" s="3">
        <f>B84&amp;E84</f>
        <v/>
      </c>
      <c r="B84" s="9" t="n">
        <v>27</v>
      </c>
      <c r="C84" s="28" t="n">
        <v>1496</v>
      </c>
      <c r="D84" s="26" t="inlineStr">
        <is>
          <t>Sagiv Levinskie Nainggolan</t>
        </is>
      </c>
      <c r="E84" s="4" t="inlineStr">
        <is>
          <t>TKB1</t>
        </is>
      </c>
      <c r="F84" s="4" t="inlineStr">
        <is>
          <t>Juliana Krisnawati Saragih, S.Si.</t>
        </is>
      </c>
    </row>
    <row r="85" ht="14.25" customHeight="1" s="35">
      <c r="A85" s="3">
        <f>B85&amp;E85</f>
        <v/>
      </c>
      <c r="B85" s="9" t="n">
        <v>28</v>
      </c>
      <c r="C85" s="9" t="n">
        <v>1497</v>
      </c>
      <c r="D85" s="27" t="inlineStr">
        <is>
          <t>Sean Milan Saragih</t>
        </is>
      </c>
      <c r="E85" s="4" t="inlineStr">
        <is>
          <t>TKB1</t>
        </is>
      </c>
      <c r="F85" s="4" t="inlineStr">
        <is>
          <t>Juliana Krisnawati Saragih, S.Si.</t>
        </is>
      </c>
    </row>
    <row r="86" ht="14.25" customHeight="1" s="35">
      <c r="A86" s="3">
        <f>B86&amp;E86</f>
        <v/>
      </c>
      <c r="B86" s="9" t="n">
        <v>29</v>
      </c>
      <c r="C86" s="28" t="n">
        <v>1498</v>
      </c>
      <c r="D86" s="25" t="inlineStr">
        <is>
          <t>Sheera Leticia Nainggolan</t>
        </is>
      </c>
      <c r="E86" s="4" t="inlineStr">
        <is>
          <t>TKB1</t>
        </is>
      </c>
      <c r="F86" s="4" t="inlineStr">
        <is>
          <t>Juliana Krisnawati Saragih, S.Si.</t>
        </is>
      </c>
    </row>
    <row r="87" ht="14.25" customHeight="1" s="35">
      <c r="A87" s="3">
        <f>B87&amp;E87</f>
        <v/>
      </c>
      <c r="B87" s="9" t="n">
        <v>30</v>
      </c>
      <c r="C87" s="9" t="n">
        <v>1499</v>
      </c>
      <c r="D87" s="27" t="inlineStr">
        <is>
          <t>Sheryn Florencia Nainggolan</t>
        </is>
      </c>
      <c r="E87" s="4" t="inlineStr">
        <is>
          <t>TKB1</t>
        </is>
      </c>
      <c r="F87" s="4" t="inlineStr">
        <is>
          <t>Juliana Krisnawati Saragih, S.Si.</t>
        </is>
      </c>
    </row>
    <row r="88" ht="14.25" customHeight="1" s="35">
      <c r="A88" s="3">
        <f>B88&amp;E88</f>
        <v/>
      </c>
      <c r="B88" s="9" t="n">
        <v>31</v>
      </c>
      <c r="C88" s="28" t="n">
        <v>1500</v>
      </c>
      <c r="D88" s="27" t="inlineStr">
        <is>
          <t>Trini Arindy Br. Pasaribu</t>
        </is>
      </c>
      <c r="E88" s="4" t="inlineStr">
        <is>
          <t>TKB1</t>
        </is>
      </c>
      <c r="F88" s="4" t="inlineStr">
        <is>
          <t>Juliana Krisnawati Saragih, S.Si.</t>
        </is>
      </c>
    </row>
    <row r="89" ht="14.25" customHeight="1" s="35">
      <c r="A89" s="3">
        <f>B89&amp;E89</f>
        <v/>
      </c>
      <c r="B89" s="9" t="n">
        <v>32</v>
      </c>
      <c r="C89" s="9" t="n">
        <v>1501</v>
      </c>
      <c r="D89" s="27" t="inlineStr">
        <is>
          <t>Valencia Tjuatja</t>
        </is>
      </c>
      <c r="E89" s="4" t="inlineStr">
        <is>
          <t>TKB1</t>
        </is>
      </c>
      <c r="F89" s="4" t="inlineStr">
        <is>
          <t>Juliana Krisnawati Saragih, S.Si.</t>
        </is>
      </c>
    </row>
    <row r="90" ht="14.25" customHeight="1" s="35">
      <c r="A90" s="3">
        <f>B90&amp;E90</f>
        <v/>
      </c>
      <c r="B90" s="9" t="n">
        <v>33</v>
      </c>
      <c r="C90" s="28" t="n">
        <v>1502</v>
      </c>
      <c r="D90" s="26" t="inlineStr">
        <is>
          <t>Vallerie Laurist</t>
        </is>
      </c>
      <c r="E90" s="4" t="inlineStr">
        <is>
          <t>TKB1</t>
        </is>
      </c>
      <c r="F90" s="4" t="inlineStr">
        <is>
          <t>Juliana Krisnawati Saragih, S.Si.</t>
        </is>
      </c>
    </row>
    <row r="91" ht="14.25" customHeight="1" s="35">
      <c r="A91" s="3">
        <f>B91&amp;E91</f>
        <v/>
      </c>
      <c r="B91" s="9" t="n">
        <v>34</v>
      </c>
      <c r="C91" s="9" t="n">
        <v>1503</v>
      </c>
      <c r="D91" s="29" t="inlineStr">
        <is>
          <t>Vionetta Brylie Siregar</t>
        </is>
      </c>
      <c r="E91" s="4" t="inlineStr">
        <is>
          <t>TKB1</t>
        </is>
      </c>
      <c r="F91" s="4" t="inlineStr">
        <is>
          <t>Juliana Krisnawati Saragih, S.Si.</t>
        </is>
      </c>
    </row>
    <row r="92" ht="14.25" customHeight="1" s="35">
      <c r="A92" s="3">
        <f>B92&amp;E92</f>
        <v/>
      </c>
      <c r="B92" s="9" t="n">
        <v>35</v>
      </c>
      <c r="C92" s="28" t="n">
        <v>1504</v>
      </c>
      <c r="D92" s="25" t="inlineStr">
        <is>
          <t>Wilson Nicholas Lim</t>
        </is>
      </c>
      <c r="E92" s="4" t="inlineStr">
        <is>
          <t>TKB1</t>
        </is>
      </c>
      <c r="F92" s="4" t="inlineStr">
        <is>
          <t>Juliana Krisnawati Saragih, S.Si.</t>
        </is>
      </c>
    </row>
    <row r="93" ht="14.25" customHeight="1" s="35">
      <c r="A93" s="3">
        <f>B93&amp;E93</f>
        <v/>
      </c>
      <c r="B93" s="9" t="n">
        <v>36</v>
      </c>
      <c r="C93" s="9" t="n">
        <v>1535</v>
      </c>
      <c r="D93" s="27" t="inlineStr">
        <is>
          <t>Gabe Cristiano Gultom</t>
        </is>
      </c>
      <c r="E93" s="4" t="inlineStr">
        <is>
          <t>TKB1</t>
        </is>
      </c>
      <c r="F93" s="4" t="inlineStr">
        <is>
          <t>Juliana Krisnawati Saragih, S.Si.</t>
        </is>
      </c>
    </row>
    <row r="94" ht="14.25" customHeight="1" s="35">
      <c r="A94" s="3">
        <f>B94&amp;E94</f>
        <v/>
      </c>
      <c r="B94" s="3" t="n">
        <v>37</v>
      </c>
      <c r="D94" s="3" t="inlineStr">
        <is>
          <t>helena</t>
        </is>
      </c>
      <c r="E94" s="4" t="inlineStr">
        <is>
          <t>TKB1</t>
        </is>
      </c>
      <c r="F94" s="4" t="inlineStr">
        <is>
          <t>Juliana Krisnawati Saragih, S.Si.</t>
        </is>
      </c>
    </row>
    <row r="95" ht="14.25" customHeight="1" s="35">
      <c r="A95" s="3">
        <f>B95&amp;E95</f>
        <v/>
      </c>
    </row>
    <row r="96" ht="14.25" customHeight="1" s="35">
      <c r="A96" s="3">
        <f>B96&amp;E96</f>
        <v/>
      </c>
    </row>
    <row r="97" ht="14.25" customHeight="1" s="35">
      <c r="A97" s="3">
        <f>B97&amp;E97</f>
        <v/>
      </c>
    </row>
    <row r="98" ht="14.25" customHeight="1" s="35">
      <c r="A98" s="3">
        <f>B98&amp;E98</f>
        <v/>
      </c>
      <c r="B98" s="30" t="n">
        <v>1</v>
      </c>
      <c r="C98" s="9" t="n">
        <v>1386</v>
      </c>
      <c r="D98" s="27" t="inlineStr">
        <is>
          <t>Chelsea Valerie</t>
        </is>
      </c>
      <c r="E98" s="4" t="inlineStr">
        <is>
          <t>TKB2</t>
        </is>
      </c>
      <c r="F98" s="4" t="inlineStr">
        <is>
          <t>Wati, S.E.</t>
        </is>
      </c>
    </row>
    <row r="99" ht="14.25" customHeight="1" s="35">
      <c r="A99" s="3">
        <f>B99&amp;E99</f>
        <v/>
      </c>
      <c r="B99" s="30" t="n">
        <v>2</v>
      </c>
      <c r="C99" s="9" t="n">
        <v>1428</v>
      </c>
      <c r="D99" s="31" t="inlineStr">
        <is>
          <t>Adrellia Tessya Samantha Sianturi</t>
        </is>
      </c>
      <c r="E99" s="4" t="inlineStr">
        <is>
          <t>TKB2</t>
        </is>
      </c>
      <c r="F99" s="4" t="inlineStr">
        <is>
          <t>Wati, S.E.</t>
        </is>
      </c>
    </row>
    <row r="100" ht="14.25" customHeight="1" s="35">
      <c r="A100" s="3">
        <f>B100&amp;E100</f>
        <v/>
      </c>
      <c r="B100" s="30" t="n">
        <v>3</v>
      </c>
      <c r="C100" s="9" t="n">
        <v>1429</v>
      </c>
      <c r="D100" s="26" t="inlineStr">
        <is>
          <t>Arfan Ginting</t>
        </is>
      </c>
      <c r="E100" s="4" t="inlineStr">
        <is>
          <t>TKB2</t>
        </is>
      </c>
      <c r="F100" s="4" t="inlineStr">
        <is>
          <t>Wati, S.E.</t>
        </is>
      </c>
    </row>
    <row r="101" ht="14.25" customHeight="1" s="35">
      <c r="A101" s="3">
        <f>B101&amp;E101</f>
        <v/>
      </c>
      <c r="B101" s="30" t="n">
        <v>4</v>
      </c>
      <c r="C101" s="9" t="n">
        <v>1430</v>
      </c>
      <c r="D101" s="32" t="inlineStr">
        <is>
          <t>Brienne Nathania Carolyne Pakpahan</t>
        </is>
      </c>
      <c r="E101" s="4" t="inlineStr">
        <is>
          <t>TKB2</t>
        </is>
      </c>
      <c r="F101" s="4" t="inlineStr">
        <is>
          <t>Wati, S.E.</t>
        </is>
      </c>
    </row>
    <row r="102" ht="14.25" customHeight="1" s="35">
      <c r="A102" s="3">
        <f>B102&amp;E102</f>
        <v/>
      </c>
      <c r="B102" s="30" t="n">
        <v>5</v>
      </c>
      <c r="C102" s="9" t="n">
        <v>1432</v>
      </c>
      <c r="D102" s="26" t="inlineStr">
        <is>
          <t>Chester Tankino</t>
        </is>
      </c>
      <c r="E102" s="4" t="inlineStr">
        <is>
          <t>TKB2</t>
        </is>
      </c>
      <c r="F102" s="4" t="inlineStr">
        <is>
          <t>Wati, S.E.</t>
        </is>
      </c>
    </row>
    <row r="103" ht="14.25" customHeight="1" s="35">
      <c r="A103" s="3">
        <f>B103&amp;E103</f>
        <v/>
      </c>
      <c r="B103" s="30" t="n">
        <v>6</v>
      </c>
      <c r="C103" s="9" t="n">
        <v>1433</v>
      </c>
      <c r="D103" s="27" t="inlineStr">
        <is>
          <t>Cristine Dharani</t>
        </is>
      </c>
      <c r="E103" s="4" t="inlineStr">
        <is>
          <t>TKB2</t>
        </is>
      </c>
      <c r="F103" s="4" t="inlineStr">
        <is>
          <t>Wati, S.E.</t>
        </is>
      </c>
    </row>
    <row r="104" ht="14.25" customHeight="1" s="35">
      <c r="A104" s="3">
        <f>B104&amp;E104</f>
        <v/>
      </c>
      <c r="B104" s="30" t="n">
        <v>7</v>
      </c>
      <c r="C104" s="9" t="n">
        <v>1435</v>
      </c>
      <c r="D104" s="26" t="inlineStr">
        <is>
          <t>Gavinta Elon Siregar</t>
        </is>
      </c>
      <c r="E104" s="4" t="inlineStr">
        <is>
          <t>TKB2</t>
        </is>
      </c>
      <c r="F104" s="4" t="inlineStr">
        <is>
          <t>Wati, S.E.</t>
        </is>
      </c>
    </row>
    <row r="105" ht="14.25" customHeight="1" s="35">
      <c r="A105" s="3">
        <f>B105&amp;E105</f>
        <v/>
      </c>
      <c r="B105" s="30" t="n">
        <v>8</v>
      </c>
      <c r="C105" s="9" t="n">
        <v>1436</v>
      </c>
      <c r="D105" s="27" t="inlineStr">
        <is>
          <t>Gavrila Maranatha Maris Panjaitan</t>
        </is>
      </c>
      <c r="E105" s="4" t="inlineStr">
        <is>
          <t>TKB2</t>
        </is>
      </c>
      <c r="F105" s="4" t="inlineStr">
        <is>
          <t>Wati, S.E.</t>
        </is>
      </c>
    </row>
    <row r="106" ht="14.25" customHeight="1" s="35">
      <c r="A106" s="3">
        <f>B106&amp;E106</f>
        <v/>
      </c>
      <c r="B106" s="30" t="n">
        <v>9</v>
      </c>
      <c r="C106" s="9" t="n">
        <v>1437</v>
      </c>
      <c r="D106" s="26" t="inlineStr">
        <is>
          <t>Given Ryshaka Simbolon</t>
        </is>
      </c>
      <c r="E106" s="4" t="inlineStr">
        <is>
          <t>TKB2</t>
        </is>
      </c>
      <c r="F106" s="4" t="inlineStr">
        <is>
          <t>Wati, S.E.</t>
        </is>
      </c>
    </row>
    <row r="107" ht="14.25" customHeight="1" s="35">
      <c r="A107" s="3">
        <f>B107&amp;E107</f>
        <v/>
      </c>
      <c r="B107" s="30" t="n">
        <v>10</v>
      </c>
      <c r="C107" s="9" t="n">
        <v>1438</v>
      </c>
      <c r="D107" s="26" t="inlineStr">
        <is>
          <t>Joachim Yang</t>
        </is>
      </c>
      <c r="E107" s="4" t="inlineStr">
        <is>
          <t>TKB2</t>
        </is>
      </c>
      <c r="F107" s="4" t="inlineStr">
        <is>
          <t>Wati, S.E.</t>
        </is>
      </c>
    </row>
    <row r="108" ht="14.25" customHeight="1" s="35">
      <c r="A108" s="3">
        <f>B108&amp;E108</f>
        <v/>
      </c>
      <c r="B108" s="30" t="n">
        <v>11</v>
      </c>
      <c r="C108" s="9" t="n">
        <v>1440</v>
      </c>
      <c r="D108" s="27" t="inlineStr">
        <is>
          <t>Michelle Kimberly Gui</t>
        </is>
      </c>
      <c r="E108" s="4" t="inlineStr">
        <is>
          <t>TKB2</t>
        </is>
      </c>
      <c r="F108" s="4" t="inlineStr">
        <is>
          <t>Wati, S.E.</t>
        </is>
      </c>
    </row>
    <row r="109" ht="14.25" customHeight="1" s="35">
      <c r="A109" s="3">
        <f>B109&amp;E109</f>
        <v/>
      </c>
      <c r="B109" s="30" t="n">
        <v>12</v>
      </c>
      <c r="C109" s="9" t="n">
        <v>1442</v>
      </c>
      <c r="D109" s="26" t="inlineStr">
        <is>
          <t>Pangeran Hagro Haloho</t>
        </is>
      </c>
      <c r="E109" s="4" t="inlineStr">
        <is>
          <t>TKB2</t>
        </is>
      </c>
      <c r="F109" s="4" t="inlineStr">
        <is>
          <t>Wati, S.E.</t>
        </is>
      </c>
    </row>
    <row r="110" ht="14.25" customHeight="1" s="35">
      <c r="A110" s="3">
        <f>B110&amp;E110</f>
        <v/>
      </c>
      <c r="B110" s="30" t="n">
        <v>13</v>
      </c>
      <c r="C110" s="9" t="n">
        <v>1443</v>
      </c>
      <c r="D110" s="27" t="inlineStr">
        <is>
          <t>Pedro Karvinta Sembiring</t>
        </is>
      </c>
      <c r="E110" s="4" t="inlineStr">
        <is>
          <t>TKB2</t>
        </is>
      </c>
      <c r="F110" s="4" t="inlineStr">
        <is>
          <t>Wati, S.E.</t>
        </is>
      </c>
    </row>
    <row r="111" ht="14.25" customHeight="1" s="35">
      <c r="A111" s="3">
        <f>B111&amp;E111</f>
        <v/>
      </c>
      <c r="B111" s="30" t="n">
        <v>14</v>
      </c>
      <c r="C111" s="9" t="n">
        <v>1444</v>
      </c>
      <c r="D111" s="26" t="inlineStr">
        <is>
          <t>Richa Dwily</t>
        </is>
      </c>
      <c r="E111" s="4" t="inlineStr">
        <is>
          <t>TKB2</t>
        </is>
      </c>
      <c r="F111" s="4" t="inlineStr">
        <is>
          <t>Wati, S.E.</t>
        </is>
      </c>
    </row>
    <row r="112" ht="14.25" customHeight="1" s="35">
      <c r="A112" s="3">
        <f>B112&amp;E112</f>
        <v/>
      </c>
      <c r="B112" s="30" t="n">
        <v>15</v>
      </c>
      <c r="C112" s="27" t="n">
        <v>1445</v>
      </c>
      <c r="D112" s="26" t="inlineStr">
        <is>
          <t>Robyn Imanuel Louis</t>
        </is>
      </c>
      <c r="E112" s="4" t="inlineStr">
        <is>
          <t>TKB2</t>
        </is>
      </c>
      <c r="F112" s="4" t="inlineStr">
        <is>
          <t>Wati, S.E.</t>
        </is>
      </c>
    </row>
    <row r="113" ht="14.25" customHeight="1" s="35">
      <c r="A113" s="3">
        <f>B113&amp;E113</f>
        <v/>
      </c>
      <c r="B113" s="30" t="n">
        <v>16</v>
      </c>
      <c r="C113" s="9" t="n">
        <v>1446</v>
      </c>
      <c r="D113" s="27" t="inlineStr">
        <is>
          <t>Shayna Amoureyza Sitepu</t>
        </is>
      </c>
      <c r="E113" s="4" t="inlineStr">
        <is>
          <t>TKB2</t>
        </is>
      </c>
      <c r="F113" s="4" t="inlineStr">
        <is>
          <t>Wati, S.E.</t>
        </is>
      </c>
    </row>
    <row r="114" ht="14.25" customHeight="1" s="35">
      <c r="A114" s="3">
        <f>B114&amp;E114</f>
        <v/>
      </c>
      <c r="B114" s="30" t="n">
        <v>17</v>
      </c>
      <c r="C114" s="9" t="n">
        <v>1447</v>
      </c>
      <c r="D114" s="27" t="inlineStr">
        <is>
          <t>Stevia Chrisela Chai</t>
        </is>
      </c>
      <c r="E114" s="4" t="inlineStr">
        <is>
          <t>TKB2</t>
        </is>
      </c>
      <c r="F114" s="4" t="inlineStr">
        <is>
          <t>Wati, S.E.</t>
        </is>
      </c>
    </row>
    <row r="115" ht="14.25" customHeight="1" s="35">
      <c r="A115" s="3">
        <f>B115&amp;E115</f>
        <v/>
      </c>
      <c r="B115" s="30" t="n">
        <v>18</v>
      </c>
      <c r="C115" s="9" t="n">
        <v>1448</v>
      </c>
      <c r="D115" s="27" t="inlineStr">
        <is>
          <t>Theo Rafa Pakpahan</t>
        </is>
      </c>
      <c r="E115" s="4" t="inlineStr">
        <is>
          <t>TKB2</t>
        </is>
      </c>
      <c r="F115" s="4" t="inlineStr">
        <is>
          <t>Wati, S.E.</t>
        </is>
      </c>
    </row>
    <row r="116" ht="14.25" customHeight="1" s="35">
      <c r="A116" s="3">
        <f>B116&amp;E116</f>
        <v/>
      </c>
      <c r="B116" s="30" t="n">
        <v>19</v>
      </c>
      <c r="C116" s="9" t="n">
        <v>1451</v>
      </c>
      <c r="D116" s="27" t="inlineStr">
        <is>
          <t>Vinnie Gea Halim</t>
        </is>
      </c>
      <c r="E116" s="4" t="inlineStr">
        <is>
          <t>TKB2</t>
        </is>
      </c>
      <c r="F116" s="4" t="inlineStr">
        <is>
          <t>Wati, S.E.</t>
        </is>
      </c>
    </row>
    <row r="117" ht="14.25" customHeight="1" s="35">
      <c r="A117" s="3">
        <f>B117&amp;E117</f>
        <v/>
      </c>
      <c r="B117" s="30" t="n">
        <v>20</v>
      </c>
      <c r="C117" s="9" t="n">
        <v>1452</v>
      </c>
      <c r="D117" s="26" t="inlineStr">
        <is>
          <t>Abercio Kiano Drake</t>
        </is>
      </c>
      <c r="E117" s="4" t="inlineStr">
        <is>
          <t>TKB2</t>
        </is>
      </c>
      <c r="F117" s="4" t="inlineStr">
        <is>
          <t>Wati, S.E.</t>
        </is>
      </c>
    </row>
    <row r="118" ht="14.25" customHeight="1" s="35">
      <c r="A118" s="3">
        <f>B118&amp;E118</f>
        <v/>
      </c>
      <c r="B118" s="30" t="n">
        <v>21</v>
      </c>
      <c r="C118" s="9" t="n">
        <v>1453</v>
      </c>
      <c r="D118" s="27" t="inlineStr">
        <is>
          <t>Aleysia Callista Br Ompusunggu</t>
        </is>
      </c>
      <c r="E118" s="4" t="inlineStr">
        <is>
          <t>TKB2</t>
        </is>
      </c>
      <c r="F118" s="4" t="inlineStr">
        <is>
          <t>Wati, S.E.</t>
        </is>
      </c>
    </row>
    <row r="119" ht="14.25" customHeight="1" s="35">
      <c r="A119" s="3">
        <f>B119&amp;E119</f>
        <v/>
      </c>
      <c r="B119" s="30" t="n">
        <v>22</v>
      </c>
      <c r="C119" s="9" t="n">
        <v>1454</v>
      </c>
      <c r="D119" s="27" t="inlineStr">
        <is>
          <t>Alvaro Gavriel Karo Karo</t>
        </is>
      </c>
      <c r="E119" s="4" t="inlineStr">
        <is>
          <t>TKB2</t>
        </is>
      </c>
      <c r="F119" s="4" t="inlineStr">
        <is>
          <t>Wati, S.E.</t>
        </is>
      </c>
    </row>
    <row r="120" ht="14.25" customHeight="1" s="35">
      <c r="A120" s="3">
        <f>B120&amp;E120</f>
        <v/>
      </c>
      <c r="B120" s="30" t="n">
        <v>23</v>
      </c>
      <c r="C120" s="9" t="n">
        <v>1455</v>
      </c>
      <c r="D120" s="27" t="inlineStr">
        <is>
          <t>Bryan Maxwell Angkasa</t>
        </is>
      </c>
      <c r="E120" s="4" t="inlineStr">
        <is>
          <t>TKB2</t>
        </is>
      </c>
      <c r="F120" s="4" t="inlineStr">
        <is>
          <t>Wati, S.E.</t>
        </is>
      </c>
    </row>
    <row r="121" ht="14.25" customHeight="1" s="35">
      <c r="A121" s="3">
        <f>B121&amp;E121</f>
        <v/>
      </c>
      <c r="B121" s="30" t="n">
        <v>24</v>
      </c>
      <c r="C121" s="9" t="n">
        <v>1456</v>
      </c>
      <c r="D121" s="26" t="inlineStr">
        <is>
          <t>Christine Laotan</t>
        </is>
      </c>
      <c r="E121" s="4" t="inlineStr">
        <is>
          <t>TKB2</t>
        </is>
      </c>
      <c r="F121" s="4" t="inlineStr">
        <is>
          <t>Wati, S.E.</t>
        </is>
      </c>
    </row>
    <row r="122" ht="14.25" customHeight="1" s="35">
      <c r="A122" s="3">
        <f>B122&amp;E122</f>
        <v/>
      </c>
      <c r="B122" s="30" t="n">
        <v>25</v>
      </c>
      <c r="C122" s="9" t="n">
        <v>1457</v>
      </c>
      <c r="D122" s="27" t="inlineStr">
        <is>
          <t>Claudia Zetta Br Tarigan</t>
        </is>
      </c>
      <c r="E122" s="4" t="inlineStr">
        <is>
          <t>TKB2</t>
        </is>
      </c>
      <c r="F122" s="4" t="inlineStr">
        <is>
          <t>Wati, S.E.</t>
        </is>
      </c>
    </row>
    <row r="123" ht="14.25" customHeight="1" s="35">
      <c r="A123" s="3">
        <f>B123&amp;E123</f>
        <v/>
      </c>
      <c r="B123" s="30" t="n">
        <v>26</v>
      </c>
      <c r="C123" s="9" t="n">
        <v>1458</v>
      </c>
      <c r="D123" s="27" t="inlineStr">
        <is>
          <t>Daven Gavriel Winlie</t>
        </is>
      </c>
      <c r="E123" s="4" t="inlineStr">
        <is>
          <t>TKB2</t>
        </is>
      </c>
      <c r="F123" s="4" t="inlineStr">
        <is>
          <t>Wati, S.E.</t>
        </is>
      </c>
    </row>
    <row r="124" ht="14.25" customHeight="1" s="35">
      <c r="A124" s="3">
        <f>B124&amp;E124</f>
        <v/>
      </c>
      <c r="B124" s="30" t="n">
        <v>27</v>
      </c>
      <c r="C124" s="9" t="n">
        <v>1461</v>
      </c>
      <c r="D124" s="25" t="inlineStr">
        <is>
          <t>Felix Louis</t>
        </is>
      </c>
      <c r="E124" s="4" t="inlineStr">
        <is>
          <t>TKB2</t>
        </is>
      </c>
      <c r="F124" s="4" t="inlineStr">
        <is>
          <t>Wati, S.E.</t>
        </is>
      </c>
    </row>
    <row r="125" ht="14.25" customHeight="1" s="35">
      <c r="A125" s="3">
        <f>B125&amp;E125</f>
        <v/>
      </c>
      <c r="B125" s="30" t="n">
        <v>28</v>
      </c>
      <c r="C125" s="9" t="n">
        <v>1462</v>
      </c>
      <c r="D125" s="27" t="inlineStr">
        <is>
          <t>Glerine Richya Tumanggor</t>
        </is>
      </c>
      <c r="E125" s="4" t="inlineStr">
        <is>
          <t>TKB2</t>
        </is>
      </c>
      <c r="F125" s="4" t="inlineStr">
        <is>
          <t>Wati, S.E.</t>
        </is>
      </c>
    </row>
    <row r="126" ht="14.25" customHeight="1" s="35">
      <c r="A126" s="3">
        <f>B126&amp;E126</f>
        <v/>
      </c>
      <c r="B126" s="30" t="n">
        <v>29</v>
      </c>
      <c r="C126" s="9" t="n">
        <v>1463</v>
      </c>
      <c r="D126" s="27" t="inlineStr">
        <is>
          <t>Grace Nataly</t>
        </is>
      </c>
      <c r="E126" s="4" t="inlineStr">
        <is>
          <t>TKB2</t>
        </is>
      </c>
      <c r="F126" s="4" t="inlineStr">
        <is>
          <t>Wati, S.E.</t>
        </is>
      </c>
    </row>
    <row r="127" ht="14.25" customHeight="1" s="35">
      <c r="A127" s="3">
        <f>B127&amp;E127</f>
        <v/>
      </c>
      <c r="B127" s="30" t="n">
        <v>30</v>
      </c>
      <c r="C127" s="9" t="n">
        <v>1465</v>
      </c>
      <c r="D127" s="27" t="inlineStr">
        <is>
          <t>Greysia Dhita Panggabean</t>
        </is>
      </c>
      <c r="E127" s="4" t="inlineStr">
        <is>
          <t>TKB2</t>
        </is>
      </c>
      <c r="F127" s="4" t="inlineStr">
        <is>
          <t>Wati, S.E.</t>
        </is>
      </c>
    </row>
    <row r="128" ht="14.25" customHeight="1" s="35">
      <c r="A128" s="3">
        <f>B128&amp;E128</f>
        <v/>
      </c>
      <c r="B128" s="30" t="n">
        <v>31</v>
      </c>
      <c r="C128" s="9" t="n">
        <v>1466</v>
      </c>
      <c r="D128" s="27" t="inlineStr">
        <is>
          <t>Jasmine Valerie Yap</t>
        </is>
      </c>
      <c r="E128" s="4" t="inlineStr">
        <is>
          <t>TKB2</t>
        </is>
      </c>
      <c r="F128" s="4" t="inlineStr">
        <is>
          <t>Wati, S.E.</t>
        </is>
      </c>
    </row>
    <row r="129" ht="14.25" customHeight="1" s="35">
      <c r="A129" s="3">
        <f>B129&amp;E129</f>
        <v/>
      </c>
      <c r="B129" s="30" t="n">
        <v>32</v>
      </c>
      <c r="C129" s="9" t="n">
        <v>1468</v>
      </c>
      <c r="D129" s="27" t="inlineStr">
        <is>
          <t>Kenstein Elton Lim</t>
        </is>
      </c>
      <c r="E129" s="4" t="inlineStr">
        <is>
          <t>TKB2</t>
        </is>
      </c>
      <c r="F129" s="4" t="inlineStr">
        <is>
          <t>Wati, S.E.</t>
        </is>
      </c>
    </row>
    <row r="130" ht="14.25" customHeight="1" s="35">
      <c r="A130" s="3">
        <f>B130&amp;E130</f>
        <v/>
      </c>
      <c r="B130" s="30" t="n">
        <v>33</v>
      </c>
      <c r="C130" s="9" t="n">
        <v>1470</v>
      </c>
      <c r="D130" s="26" t="inlineStr">
        <is>
          <t>Kenzo Kiano</t>
        </is>
      </c>
      <c r="E130" s="4" t="inlineStr">
        <is>
          <t>TKB2</t>
        </is>
      </c>
      <c r="F130" s="4" t="inlineStr">
        <is>
          <t>Wati, S.E.</t>
        </is>
      </c>
    </row>
    <row r="131" ht="14.25" customHeight="1" s="35">
      <c r="A131" s="3">
        <f>B131&amp;E131</f>
        <v/>
      </c>
      <c r="B131" s="30" t="n">
        <v>34</v>
      </c>
      <c r="C131" s="9" t="n">
        <v>1471</v>
      </c>
      <c r="D131" s="26" t="inlineStr">
        <is>
          <t>Marquez Boas Aritonang</t>
        </is>
      </c>
      <c r="E131" s="4" t="inlineStr">
        <is>
          <t>TKB2</t>
        </is>
      </c>
      <c r="F131" s="4" t="inlineStr">
        <is>
          <t>Wati, S.E.</t>
        </is>
      </c>
    </row>
    <row r="132" ht="14.25" customHeight="1" s="35">
      <c r="A132" s="3">
        <f>B132&amp;E132</f>
        <v/>
      </c>
      <c r="B132" s="30" t="n">
        <v>35</v>
      </c>
      <c r="C132" s="9" t="n">
        <v>1472</v>
      </c>
      <c r="D132" s="27" t="inlineStr">
        <is>
          <t>Peter Djuandi</t>
        </is>
      </c>
      <c r="E132" s="4" t="inlineStr">
        <is>
          <t>TKB2</t>
        </is>
      </c>
      <c r="F132" s="4" t="inlineStr">
        <is>
          <t>Wati, S.E.</t>
        </is>
      </c>
    </row>
    <row r="133" ht="14.25" customHeight="1" s="35">
      <c r="A133" s="3">
        <f>B133&amp;E133</f>
        <v/>
      </c>
      <c r="B133" s="30" t="n">
        <v>36</v>
      </c>
      <c r="C133" s="9" t="n">
        <v>1475</v>
      </c>
      <c r="D133" s="27" t="inlineStr">
        <is>
          <t>Hiromi Sheena Silalahi</t>
        </is>
      </c>
      <c r="E133" s="4" t="inlineStr">
        <is>
          <t>TKB2</t>
        </is>
      </c>
      <c r="F133" s="4" t="inlineStr">
        <is>
          <t>Wati, S.E.</t>
        </is>
      </c>
    </row>
    <row r="134" ht="14.25" customHeight="1" s="35"/>
    <row r="135" ht="14.25" customHeight="1" s="35"/>
    <row r="136" ht="14.25" customHeight="1" s="35"/>
    <row r="137" ht="14.25" customHeight="1" s="35"/>
    <row r="138" ht="14.25" customHeight="1" s="35"/>
    <row r="139" ht="14.25" customHeight="1" s="35"/>
    <row r="140" ht="14.25" customHeight="1" s="35"/>
    <row r="141" ht="14.25" customHeight="1" s="35"/>
    <row r="142" ht="14.25" customHeight="1" s="35"/>
    <row r="143" ht="14.25" customHeight="1" s="35"/>
    <row r="144" ht="14.25" customHeight="1" s="35"/>
    <row r="145" ht="14.25" customHeight="1" s="35"/>
    <row r="146" ht="14.25" customHeight="1" s="35"/>
    <row r="147" ht="14.25" customHeight="1" s="35"/>
    <row r="148" ht="14.25" customHeight="1" s="35"/>
    <row r="149" ht="14.25" customHeight="1" s="35"/>
    <row r="150" ht="14.25" customHeight="1" s="35"/>
    <row r="151" ht="14.25" customHeight="1" s="35"/>
    <row r="152" ht="14.25" customHeight="1" s="35"/>
    <row r="153" ht="14.25" customHeight="1" s="35"/>
    <row r="154" ht="14.25" customHeight="1" s="35"/>
    <row r="155" ht="14.25" customHeight="1" s="35"/>
    <row r="156" ht="14.25" customHeight="1" s="35"/>
    <row r="157" ht="14.25" customHeight="1" s="35"/>
    <row r="158" ht="14.25" customHeight="1" s="35"/>
    <row r="159" ht="14.25" customHeight="1" s="35"/>
    <row r="160" ht="14.25" customHeight="1" s="35"/>
    <row r="161" ht="14.25" customHeight="1" s="35"/>
    <row r="162" ht="14.25" customHeight="1" s="35"/>
    <row r="163" ht="14.25" customHeight="1" s="35"/>
    <row r="164" ht="14.25" customHeight="1" s="35"/>
    <row r="165" ht="14.25" customHeight="1" s="35"/>
    <row r="166" ht="14.25" customHeight="1" s="35"/>
    <row r="167" ht="14.25" customHeight="1" s="35"/>
    <row r="168" ht="14.25" customHeight="1" s="35"/>
    <row r="169" ht="14.25" customHeight="1" s="35"/>
    <row r="170" ht="14.25" customHeight="1" s="35"/>
    <row r="171" ht="14.25" customHeight="1" s="35"/>
    <row r="172" ht="14.25" customHeight="1" s="35"/>
    <row r="173" ht="14.25" customHeight="1" s="35"/>
    <row r="174" ht="14.25" customHeight="1" s="35"/>
    <row r="175" ht="14.25" customHeight="1" s="35"/>
    <row r="176" ht="14.25" customHeight="1" s="35"/>
    <row r="177" ht="14.25" customHeight="1" s="35"/>
    <row r="178" ht="14.25" customHeight="1" s="35"/>
    <row r="179" ht="14.25" customHeight="1" s="35"/>
    <row r="180" ht="14.25" customHeight="1" s="35"/>
    <row r="181" ht="14.25" customHeight="1" s="35"/>
    <row r="182" ht="14.25" customHeight="1" s="35"/>
    <row r="183" ht="14.25" customHeight="1" s="35"/>
    <row r="184" ht="14.25" customHeight="1" s="35"/>
    <row r="185" ht="14.25" customHeight="1" s="35"/>
    <row r="186" ht="14.25" customHeight="1" s="35"/>
    <row r="187" ht="14.25" customHeight="1" s="35"/>
    <row r="188" ht="14.25" customHeight="1" s="35"/>
    <row r="189" ht="14.25" customHeight="1" s="35"/>
    <row r="190" ht="14.25" customHeight="1" s="35"/>
    <row r="191" ht="14.25" customHeight="1" s="35"/>
    <row r="192" ht="14.25" customHeight="1" s="35"/>
    <row r="193" ht="14.25" customHeight="1" s="35"/>
    <row r="194" ht="14.25" customHeight="1" s="35"/>
    <row r="195" ht="14.25" customHeight="1" s="35"/>
    <row r="196" ht="14.25" customHeight="1" s="35"/>
    <row r="197" ht="14.25" customHeight="1" s="35"/>
    <row r="198" ht="14.25" customHeight="1" s="35"/>
    <row r="199" ht="14.25" customHeight="1" s="35"/>
    <row r="200" ht="14.25" customHeight="1" s="35"/>
    <row r="201" ht="14.25" customHeight="1" s="35"/>
    <row r="202" ht="14.25" customHeight="1" s="35"/>
    <row r="203" ht="14.25" customHeight="1" s="35"/>
    <row r="204" ht="14.25" customHeight="1" s="35"/>
    <row r="205" ht="14.25" customHeight="1" s="35"/>
    <row r="206" ht="14.25" customHeight="1" s="35"/>
    <row r="207" ht="14.25" customHeight="1" s="35"/>
    <row r="208" ht="14.25" customHeight="1" s="35"/>
    <row r="209" ht="14.25" customHeight="1" s="35"/>
    <row r="210" ht="14.25" customHeight="1" s="35"/>
    <row r="211" ht="14.25" customHeight="1" s="35"/>
    <row r="212" ht="14.25" customHeight="1" s="35"/>
    <row r="213" ht="14.25" customHeight="1" s="35"/>
    <row r="214" ht="14.25" customHeight="1" s="35"/>
    <row r="215" ht="14.25" customHeight="1" s="35"/>
    <row r="216" ht="14.25" customHeight="1" s="35"/>
    <row r="217" ht="14.25" customHeight="1" s="35"/>
    <row r="218" ht="14.25" customHeight="1" s="35"/>
    <row r="219" ht="14.25" customHeight="1" s="35"/>
    <row r="220" ht="14.25" customHeight="1" s="35"/>
    <row r="221" ht="14.25" customHeight="1" s="35"/>
    <row r="222" ht="14.25" customHeight="1" s="35"/>
    <row r="223" ht="14.25" customHeight="1" s="35"/>
    <row r="224" ht="14.25" customHeight="1" s="35"/>
    <row r="225" ht="14.25" customHeight="1" s="35"/>
    <row r="226" ht="14.25" customHeight="1" s="35"/>
    <row r="227" ht="14.25" customHeight="1" s="35"/>
    <row r="228" ht="14.25" customHeight="1" s="35"/>
    <row r="229" ht="14.25" customHeight="1" s="35"/>
    <row r="230" ht="14.25" customHeight="1" s="35"/>
    <row r="231" ht="14.25" customHeight="1" s="35"/>
    <row r="232" ht="14.25" customHeight="1" s="35"/>
    <row r="233" ht="14.25" customHeight="1" s="35"/>
    <row r="234" ht="14.25" customHeight="1" s="35"/>
    <row r="235" ht="14.25" customHeight="1" s="35"/>
    <row r="236" ht="14.25" customHeight="1" s="35"/>
    <row r="237" ht="14.25" customHeight="1" s="35"/>
    <row r="238" ht="14.25" customHeight="1" s="35"/>
    <row r="239" ht="14.25" customHeight="1" s="35"/>
    <row r="240" ht="14.25" customHeight="1" s="35"/>
    <row r="241" ht="14.25" customHeight="1" s="35"/>
    <row r="242" ht="14.25" customHeight="1" s="35"/>
    <row r="243" ht="14.25" customHeight="1" s="35"/>
    <row r="244" ht="14.25" customHeight="1" s="35"/>
    <row r="245" ht="14.25" customHeight="1" s="35"/>
    <row r="246" ht="14.25" customHeight="1" s="35"/>
    <row r="247" ht="14.25" customHeight="1" s="35"/>
    <row r="248" ht="14.25" customHeight="1" s="35"/>
    <row r="249" ht="14.25" customHeight="1" s="35"/>
    <row r="250" ht="14.25" customHeight="1" s="35"/>
    <row r="251" ht="14.25" customHeight="1" s="35"/>
    <row r="252" ht="14.25" customHeight="1" s="35"/>
    <row r="253" ht="14.25" customHeight="1" s="35"/>
    <row r="254" ht="14.25" customHeight="1" s="35"/>
    <row r="255" ht="14.25" customHeight="1" s="35"/>
    <row r="256" ht="14.25" customHeight="1" s="35"/>
    <row r="257" ht="14.25" customHeight="1" s="35"/>
    <row r="258" ht="14.25" customHeight="1" s="35"/>
    <row r="259" ht="14.25" customHeight="1" s="35"/>
    <row r="260" ht="14.25" customHeight="1" s="35"/>
    <row r="261" ht="14.25" customHeight="1" s="35"/>
    <row r="262" ht="14.25" customHeight="1" s="35"/>
    <row r="263" ht="14.25" customHeight="1" s="35"/>
    <row r="264" ht="14.25" customHeight="1" s="35"/>
    <row r="265" ht="14.25" customHeight="1" s="35"/>
    <row r="266" ht="14.25" customHeight="1" s="35"/>
    <row r="267" ht="14.25" customHeight="1" s="35"/>
    <row r="268" ht="14.25" customHeight="1" s="35"/>
    <row r="269" ht="14.25" customHeight="1" s="35"/>
    <row r="270" ht="14.25" customHeight="1" s="35"/>
    <row r="271" ht="14.25" customHeight="1" s="35"/>
    <row r="272" ht="14.25" customHeight="1" s="35"/>
    <row r="273" ht="14.25" customHeight="1" s="35"/>
    <row r="274" ht="14.25" customHeight="1" s="35"/>
    <row r="275" ht="14.25" customHeight="1" s="35"/>
    <row r="276" ht="14.25" customHeight="1" s="35"/>
    <row r="277" ht="14.25" customHeight="1" s="35"/>
    <row r="278" ht="14.25" customHeight="1" s="35"/>
    <row r="279" ht="14.25" customHeight="1" s="35"/>
    <row r="280" ht="14.25" customHeight="1" s="35"/>
    <row r="281" ht="14.25" customHeight="1" s="35"/>
    <row r="282" ht="14.25" customHeight="1" s="35"/>
    <row r="283" ht="14.25" customHeight="1" s="35"/>
    <row r="284" ht="14.25" customHeight="1" s="35"/>
    <row r="285" ht="14.25" customHeight="1" s="35"/>
    <row r="286" ht="14.25" customHeight="1" s="35"/>
    <row r="287" ht="14.25" customHeight="1" s="35"/>
    <row r="288" ht="14.25" customHeight="1" s="35"/>
    <row r="289" ht="14.25" customHeight="1" s="35"/>
    <row r="290" ht="14.25" customHeight="1" s="35"/>
    <row r="291" ht="14.25" customHeight="1" s="35"/>
    <row r="292" ht="14.25" customHeight="1" s="35"/>
    <row r="293" ht="14.25" customHeight="1" s="35"/>
    <row r="294" ht="14.25" customHeight="1" s="35"/>
    <row r="295" ht="14.25" customHeight="1" s="35"/>
    <row r="296" ht="14.25" customHeight="1" s="35"/>
    <row r="297" ht="14.25" customHeight="1" s="35"/>
    <row r="298" ht="14.25" customHeight="1" s="35"/>
    <row r="299" ht="14.25" customHeight="1" s="35"/>
    <row r="300" ht="14.25" customHeight="1" s="35"/>
    <row r="301" ht="14.25" customHeight="1" s="35"/>
    <row r="302" ht="14.25" customHeight="1" s="35"/>
    <row r="303" ht="14.25" customHeight="1" s="35"/>
    <row r="304" ht="14.25" customHeight="1" s="35"/>
    <row r="305" ht="14.25" customHeight="1" s="35"/>
    <row r="306" ht="14.25" customHeight="1" s="35"/>
    <row r="307" ht="14.25" customHeight="1" s="35"/>
    <row r="308" ht="14.25" customHeight="1" s="35"/>
    <row r="309" ht="14.25" customHeight="1" s="35"/>
    <row r="310" ht="14.25" customHeight="1" s="35"/>
    <row r="311" ht="14.25" customHeight="1" s="35"/>
    <row r="312" ht="14.25" customHeight="1" s="35"/>
    <row r="313" ht="14.25" customHeight="1" s="35"/>
    <row r="314" ht="14.25" customHeight="1" s="35"/>
    <row r="315" ht="14.25" customHeight="1" s="35"/>
    <row r="316" ht="14.25" customHeight="1" s="35"/>
    <row r="317" ht="14.25" customHeight="1" s="35"/>
    <row r="318" ht="14.25" customHeight="1" s="35"/>
    <row r="319" ht="14.25" customHeight="1" s="35"/>
    <row r="320" ht="14.25" customHeight="1" s="35"/>
    <row r="321" ht="14.25" customHeight="1" s="35"/>
    <row r="322" ht="14.25" customHeight="1" s="35"/>
    <row r="323" ht="14.25" customHeight="1" s="35"/>
    <row r="324" ht="14.25" customHeight="1" s="35"/>
    <row r="325" ht="14.25" customHeight="1" s="35"/>
    <row r="326" ht="14.25" customHeight="1" s="35"/>
    <row r="327" ht="14.25" customHeight="1" s="35"/>
    <row r="328" ht="14.25" customHeight="1" s="35"/>
    <row r="329" ht="14.25" customHeight="1" s="35"/>
    <row r="330" ht="14.25" customHeight="1" s="35"/>
    <row r="331" ht="14.25" customHeight="1" s="35"/>
    <row r="332" ht="14.25" customHeight="1" s="35"/>
    <row r="333" ht="14.25" customHeight="1" s="35"/>
    <row r="334" ht="14.25" customHeight="1" s="35"/>
    <row r="335" ht="14.25" customHeight="1" s="35"/>
    <row r="336" ht="14.25" customHeight="1" s="35"/>
    <row r="337" ht="14.25" customHeight="1" s="35"/>
    <row r="338" ht="14.25" customHeight="1" s="35"/>
    <row r="339" ht="14.25" customHeight="1" s="35"/>
    <row r="340" ht="14.25" customHeight="1" s="35"/>
    <row r="341" ht="14.25" customHeight="1" s="35"/>
    <row r="342" ht="14.25" customHeight="1" s="35"/>
    <row r="343" ht="14.25" customHeight="1" s="35"/>
    <row r="344" ht="14.25" customHeight="1" s="35"/>
    <row r="345" ht="14.25" customHeight="1" s="35"/>
    <row r="346" ht="14.25" customHeight="1" s="35"/>
    <row r="347" ht="14.25" customHeight="1" s="35"/>
    <row r="348" ht="14.25" customHeight="1" s="35"/>
    <row r="349" ht="14.25" customHeight="1" s="35"/>
    <row r="350" ht="14.25" customHeight="1" s="35"/>
    <row r="351" ht="14.25" customHeight="1" s="35"/>
    <row r="352" ht="14.25" customHeight="1" s="35"/>
    <row r="353" ht="14.25" customHeight="1" s="35"/>
    <row r="354" ht="14.25" customHeight="1" s="35"/>
    <row r="355" ht="14.25" customHeight="1" s="35"/>
    <row r="356" ht="14.25" customHeight="1" s="35"/>
    <row r="357" ht="14.25" customHeight="1" s="35"/>
    <row r="358" ht="14.25" customHeight="1" s="35"/>
    <row r="359" ht="14.25" customHeight="1" s="35"/>
    <row r="360" ht="14.25" customHeight="1" s="35"/>
    <row r="361" ht="14.25" customHeight="1" s="35"/>
    <row r="362" ht="14.25" customHeight="1" s="35"/>
    <row r="363" ht="14.25" customHeight="1" s="35"/>
    <row r="364" ht="14.25" customHeight="1" s="35"/>
    <row r="365" ht="14.25" customHeight="1" s="35"/>
    <row r="366" ht="14.25" customHeight="1" s="35"/>
    <row r="367" ht="14.25" customHeight="1" s="35"/>
    <row r="368" ht="14.25" customHeight="1" s="35"/>
    <row r="369" ht="14.25" customHeight="1" s="35"/>
    <row r="370" ht="14.25" customHeight="1" s="35"/>
    <row r="371" ht="14.25" customHeight="1" s="35"/>
    <row r="372" ht="14.25" customHeight="1" s="35"/>
    <row r="373" ht="14.25" customHeight="1" s="35"/>
    <row r="374" ht="14.25" customHeight="1" s="35"/>
    <row r="375" ht="14.25" customHeight="1" s="35"/>
    <row r="376" ht="14.25" customHeight="1" s="35"/>
    <row r="377" ht="14.25" customHeight="1" s="35"/>
    <row r="378" ht="14.25" customHeight="1" s="35"/>
    <row r="379" ht="14.25" customHeight="1" s="35"/>
    <row r="380" ht="14.25" customHeight="1" s="35"/>
    <row r="381" ht="14.25" customHeight="1" s="35"/>
    <row r="382" ht="14.25" customHeight="1" s="35"/>
    <row r="383" ht="14.25" customHeight="1" s="35"/>
    <row r="384" ht="14.25" customHeight="1" s="35"/>
    <row r="385" ht="14.25" customHeight="1" s="35"/>
    <row r="386" ht="14.25" customHeight="1" s="35"/>
    <row r="387" ht="14.25" customHeight="1" s="35"/>
    <row r="388" ht="14.25" customHeight="1" s="35"/>
    <row r="389" ht="14.25" customHeight="1" s="35"/>
    <row r="390" ht="14.25" customHeight="1" s="35"/>
    <row r="391" ht="14.25" customHeight="1" s="35"/>
    <row r="392" ht="14.25" customHeight="1" s="35"/>
    <row r="393" ht="14.25" customHeight="1" s="35"/>
    <row r="394" ht="14.25" customHeight="1" s="35"/>
    <row r="395" ht="14.25" customHeight="1" s="35"/>
    <row r="396" ht="14.25" customHeight="1" s="35"/>
    <row r="397" ht="14.25" customHeight="1" s="35"/>
    <row r="398" ht="14.25" customHeight="1" s="35"/>
    <row r="399" ht="14.25" customHeight="1" s="35"/>
    <row r="400" ht="14.25" customHeight="1" s="35"/>
    <row r="401" ht="14.25" customHeight="1" s="35"/>
    <row r="402" ht="14.25" customHeight="1" s="35"/>
    <row r="403" ht="14.25" customHeight="1" s="35"/>
    <row r="404" ht="14.25" customHeight="1" s="35"/>
    <row r="405" ht="14.25" customHeight="1" s="35"/>
    <row r="406" ht="14.25" customHeight="1" s="35"/>
    <row r="407" ht="14.25" customHeight="1" s="35"/>
    <row r="408" ht="14.25" customHeight="1" s="35"/>
    <row r="409" ht="14.25" customHeight="1" s="35"/>
    <row r="410" ht="14.25" customHeight="1" s="35"/>
    <row r="411" ht="14.25" customHeight="1" s="35"/>
    <row r="412" ht="14.25" customHeight="1" s="35"/>
    <row r="413" ht="14.25" customHeight="1" s="35"/>
    <row r="414" ht="14.25" customHeight="1" s="35"/>
    <row r="415" ht="14.25" customHeight="1" s="35"/>
    <row r="416" ht="14.25" customHeight="1" s="35"/>
    <row r="417" ht="14.25" customHeight="1" s="35"/>
    <row r="418" ht="14.25" customHeight="1" s="35"/>
    <row r="419" ht="14.25" customHeight="1" s="35"/>
    <row r="420" ht="14.25" customHeight="1" s="35"/>
    <row r="421" ht="14.25" customHeight="1" s="35"/>
    <row r="422" ht="14.25" customHeight="1" s="35"/>
    <row r="423" ht="14.25" customHeight="1" s="35"/>
    <row r="424" ht="14.25" customHeight="1" s="35"/>
    <row r="425" ht="14.25" customHeight="1" s="35"/>
    <row r="426" ht="14.25" customHeight="1" s="35"/>
    <row r="427" ht="14.25" customHeight="1" s="35"/>
    <row r="428" ht="14.25" customHeight="1" s="35"/>
    <row r="429" ht="14.25" customHeight="1" s="35"/>
    <row r="430" ht="14.25" customHeight="1" s="35"/>
    <row r="431" ht="14.25" customHeight="1" s="35"/>
    <row r="432" ht="14.25" customHeight="1" s="35"/>
    <row r="433" ht="14.25" customHeight="1" s="35"/>
    <row r="434" ht="14.25" customHeight="1" s="35"/>
    <row r="435" ht="14.25" customHeight="1" s="35"/>
    <row r="436" ht="14.25" customHeight="1" s="35"/>
    <row r="437" ht="14.25" customHeight="1" s="35"/>
    <row r="438" ht="14.25" customHeight="1" s="35"/>
    <row r="439" ht="14.25" customHeight="1" s="35"/>
    <row r="440" ht="14.25" customHeight="1" s="35"/>
    <row r="441" ht="14.25" customHeight="1" s="35"/>
    <row r="442" ht="14.25" customHeight="1" s="35"/>
    <row r="443" ht="14.25" customHeight="1" s="35"/>
    <row r="444" ht="14.25" customHeight="1" s="35"/>
    <row r="445" ht="14.25" customHeight="1" s="35"/>
    <row r="446" ht="14.25" customHeight="1" s="35"/>
    <row r="447" ht="14.25" customHeight="1" s="35"/>
    <row r="448" ht="14.25" customHeight="1" s="35"/>
    <row r="449" ht="14.25" customHeight="1" s="35"/>
    <row r="450" ht="14.25" customHeight="1" s="35"/>
    <row r="451" ht="14.25" customHeight="1" s="35"/>
    <row r="452" ht="14.25" customHeight="1" s="35"/>
    <row r="453" ht="14.25" customHeight="1" s="35"/>
    <row r="454" ht="14.25" customHeight="1" s="35"/>
    <row r="455" ht="14.25" customHeight="1" s="35"/>
    <row r="456" ht="14.25" customHeight="1" s="35"/>
    <row r="457" ht="14.25" customHeight="1" s="35"/>
    <row r="458" ht="14.25" customHeight="1" s="35"/>
    <row r="459" ht="14.25" customHeight="1" s="35"/>
    <row r="460" ht="14.25" customHeight="1" s="35"/>
    <row r="461" ht="14.25" customHeight="1" s="35"/>
    <row r="462" ht="14.25" customHeight="1" s="35"/>
    <row r="463" ht="14.25" customHeight="1" s="35"/>
    <row r="464" ht="14.25" customHeight="1" s="35"/>
    <row r="465" ht="14.25" customHeight="1" s="35"/>
    <row r="466" ht="14.25" customHeight="1" s="35"/>
    <row r="467" ht="14.25" customHeight="1" s="35"/>
    <row r="468" ht="14.25" customHeight="1" s="35"/>
    <row r="469" ht="14.25" customHeight="1" s="35"/>
    <row r="470" ht="14.25" customHeight="1" s="35"/>
    <row r="471" ht="14.25" customHeight="1" s="35"/>
    <row r="472" ht="14.25" customHeight="1" s="35"/>
    <row r="473" ht="14.25" customHeight="1" s="35"/>
    <row r="474" ht="14.25" customHeight="1" s="35"/>
    <row r="475" ht="14.25" customHeight="1" s="35"/>
    <row r="476" ht="14.25" customHeight="1" s="35"/>
    <row r="477" ht="14.25" customHeight="1" s="35"/>
    <row r="478" ht="14.25" customHeight="1" s="35"/>
    <row r="479" ht="14.25" customHeight="1" s="35"/>
    <row r="480" ht="14.25" customHeight="1" s="35"/>
    <row r="481" ht="14.25" customHeight="1" s="35"/>
    <row r="482" ht="14.25" customHeight="1" s="35"/>
    <row r="483" ht="14.25" customHeight="1" s="35"/>
    <row r="484" ht="14.25" customHeight="1" s="35"/>
    <row r="485" ht="14.25" customHeight="1" s="35"/>
    <row r="486" ht="14.25" customHeight="1" s="35"/>
    <row r="487" ht="14.25" customHeight="1" s="35"/>
    <row r="488" ht="14.25" customHeight="1" s="35"/>
    <row r="489" ht="14.25" customHeight="1" s="35"/>
    <row r="490" ht="14.25" customHeight="1" s="35"/>
    <row r="491" ht="14.25" customHeight="1" s="35"/>
    <row r="492" ht="14.25" customHeight="1" s="35"/>
    <row r="493" ht="14.25" customHeight="1" s="35"/>
    <row r="494" ht="14.25" customHeight="1" s="35"/>
    <row r="495" ht="14.25" customHeight="1" s="35"/>
    <row r="496" ht="14.25" customHeight="1" s="35"/>
    <row r="497" ht="14.25" customHeight="1" s="35"/>
    <row r="498" ht="14.25" customHeight="1" s="35"/>
    <row r="499" ht="14.25" customHeight="1" s="35"/>
    <row r="500" ht="14.25" customHeight="1" s="35"/>
    <row r="501" ht="14.25" customHeight="1" s="35"/>
    <row r="502" ht="14.25" customHeight="1" s="35"/>
    <row r="503" ht="14.25" customHeight="1" s="35"/>
    <row r="504" ht="14.25" customHeight="1" s="35"/>
    <row r="505" ht="14.25" customHeight="1" s="35"/>
    <row r="506" ht="14.25" customHeight="1" s="35"/>
    <row r="507" ht="14.25" customHeight="1" s="35"/>
    <row r="508" ht="14.25" customHeight="1" s="35"/>
    <row r="509" ht="14.25" customHeight="1" s="35"/>
    <row r="510" ht="14.25" customHeight="1" s="35"/>
    <row r="511" ht="14.25" customHeight="1" s="35"/>
    <row r="512" ht="14.25" customHeight="1" s="35"/>
    <row r="513" ht="14.25" customHeight="1" s="35"/>
    <row r="514" ht="14.25" customHeight="1" s="35"/>
    <row r="515" ht="14.25" customHeight="1" s="35"/>
    <row r="516" ht="14.25" customHeight="1" s="35"/>
    <row r="517" ht="14.25" customHeight="1" s="35"/>
    <row r="518" ht="14.25" customHeight="1" s="35"/>
    <row r="519" ht="14.25" customHeight="1" s="35"/>
    <row r="520" ht="14.25" customHeight="1" s="35"/>
    <row r="521" ht="14.25" customHeight="1" s="35"/>
    <row r="522" ht="14.25" customHeight="1" s="35"/>
    <row r="523" ht="14.25" customHeight="1" s="35"/>
    <row r="524" ht="14.25" customHeight="1" s="35"/>
    <row r="525" ht="14.25" customHeight="1" s="35"/>
    <row r="526" ht="14.25" customHeight="1" s="35"/>
    <row r="527" ht="14.25" customHeight="1" s="35"/>
    <row r="528" ht="14.25" customHeight="1" s="35"/>
    <row r="529" ht="14.25" customHeight="1" s="35"/>
    <row r="530" ht="14.25" customHeight="1" s="35"/>
    <row r="531" ht="14.25" customHeight="1" s="35"/>
    <row r="532" ht="14.25" customHeight="1" s="35"/>
    <row r="533" ht="14.25" customHeight="1" s="35"/>
    <row r="534" ht="14.25" customHeight="1" s="35"/>
    <row r="535" ht="14.25" customHeight="1" s="35"/>
    <row r="536" ht="14.25" customHeight="1" s="35"/>
    <row r="537" ht="14.25" customHeight="1" s="35"/>
    <row r="538" ht="14.25" customHeight="1" s="35"/>
    <row r="539" ht="14.25" customHeight="1" s="35"/>
    <row r="540" ht="14.25" customHeight="1" s="35"/>
    <row r="541" ht="14.25" customHeight="1" s="35"/>
    <row r="542" ht="14.25" customHeight="1" s="35"/>
    <row r="543" ht="14.25" customHeight="1" s="35"/>
    <row r="544" ht="14.25" customHeight="1" s="35"/>
    <row r="545" ht="14.25" customHeight="1" s="35"/>
    <row r="546" ht="14.25" customHeight="1" s="35"/>
    <row r="547" ht="14.25" customHeight="1" s="35"/>
    <row r="548" ht="14.25" customHeight="1" s="35"/>
    <row r="549" ht="14.25" customHeight="1" s="35"/>
    <row r="550" ht="14.25" customHeight="1" s="35"/>
    <row r="551" ht="14.25" customHeight="1" s="35"/>
    <row r="552" ht="14.25" customHeight="1" s="35"/>
    <row r="553" ht="14.25" customHeight="1" s="35"/>
    <row r="554" ht="14.25" customHeight="1" s="35"/>
    <row r="555" ht="14.25" customHeight="1" s="35"/>
    <row r="556" ht="14.25" customHeight="1" s="35"/>
    <row r="557" ht="14.25" customHeight="1" s="35"/>
    <row r="558" ht="14.25" customHeight="1" s="35"/>
    <row r="559" ht="14.25" customHeight="1" s="35"/>
    <row r="560" ht="14.25" customHeight="1" s="35"/>
    <row r="561" ht="14.25" customHeight="1" s="35"/>
    <row r="562" ht="14.25" customHeight="1" s="35"/>
    <row r="563" ht="14.25" customHeight="1" s="35"/>
    <row r="564" ht="14.25" customHeight="1" s="35"/>
    <row r="565" ht="14.25" customHeight="1" s="35"/>
    <row r="566" ht="14.25" customHeight="1" s="35"/>
    <row r="567" ht="14.25" customHeight="1" s="35"/>
    <row r="568" ht="14.25" customHeight="1" s="35"/>
    <row r="569" ht="14.25" customHeight="1" s="35"/>
    <row r="570" ht="14.25" customHeight="1" s="35"/>
    <row r="571" ht="14.25" customHeight="1" s="35"/>
    <row r="572" ht="14.25" customHeight="1" s="35"/>
    <row r="573" ht="14.25" customHeight="1" s="35"/>
    <row r="574" ht="14.25" customHeight="1" s="35"/>
    <row r="575" ht="14.25" customHeight="1" s="35"/>
    <row r="576" ht="14.25" customHeight="1" s="35"/>
    <row r="577" ht="14.25" customHeight="1" s="35"/>
    <row r="578" ht="14.25" customHeight="1" s="35"/>
    <row r="579" ht="14.25" customHeight="1" s="35"/>
    <row r="580" ht="14.25" customHeight="1" s="35"/>
    <row r="581" ht="14.25" customHeight="1" s="35"/>
    <row r="582" ht="14.25" customHeight="1" s="35"/>
    <row r="583" ht="14.25" customHeight="1" s="35"/>
    <row r="584" ht="14.25" customHeight="1" s="35"/>
    <row r="585" ht="14.25" customHeight="1" s="35"/>
    <row r="586" ht="14.25" customHeight="1" s="35"/>
    <row r="587" ht="14.25" customHeight="1" s="35"/>
    <row r="588" ht="14.25" customHeight="1" s="35"/>
    <row r="589" ht="14.25" customHeight="1" s="35"/>
    <row r="590" ht="14.25" customHeight="1" s="35"/>
    <row r="591" ht="14.25" customHeight="1" s="35"/>
    <row r="592" ht="14.25" customHeight="1" s="35"/>
    <row r="593" ht="14.25" customHeight="1" s="35"/>
    <row r="594" ht="14.25" customHeight="1" s="35"/>
    <row r="595" ht="14.25" customHeight="1" s="35"/>
    <row r="596" ht="14.25" customHeight="1" s="35"/>
    <row r="597" ht="14.25" customHeight="1" s="35"/>
    <row r="598" ht="14.25" customHeight="1" s="35"/>
    <row r="599" ht="14.25" customHeight="1" s="35"/>
    <row r="600" ht="14.25" customHeight="1" s="35"/>
    <row r="601" ht="14.25" customHeight="1" s="35"/>
    <row r="602" ht="14.25" customHeight="1" s="35"/>
    <row r="603" ht="14.25" customHeight="1" s="35"/>
    <row r="604" ht="14.25" customHeight="1" s="35"/>
    <row r="605" ht="14.25" customHeight="1" s="35"/>
    <row r="606" ht="14.25" customHeight="1" s="35"/>
    <row r="607" ht="14.25" customHeight="1" s="35"/>
    <row r="608" ht="14.25" customHeight="1" s="35"/>
    <row r="609" ht="14.25" customHeight="1" s="35"/>
    <row r="610" ht="14.25" customHeight="1" s="35"/>
    <row r="611" ht="14.25" customHeight="1" s="35"/>
    <row r="612" ht="14.25" customHeight="1" s="35"/>
    <row r="613" ht="14.25" customHeight="1" s="35"/>
    <row r="614" ht="14.25" customHeight="1" s="35"/>
    <row r="615" ht="14.25" customHeight="1" s="35"/>
    <row r="616" ht="14.25" customHeight="1" s="35"/>
    <row r="617" ht="14.25" customHeight="1" s="35"/>
    <row r="618" ht="14.25" customHeight="1" s="35"/>
    <row r="619" ht="14.25" customHeight="1" s="35"/>
    <row r="620" ht="14.25" customHeight="1" s="35"/>
    <row r="621" ht="14.25" customHeight="1" s="35"/>
    <row r="622" ht="14.25" customHeight="1" s="35"/>
    <row r="623" ht="14.25" customHeight="1" s="35"/>
    <row r="624" ht="14.25" customHeight="1" s="35"/>
    <row r="625" ht="14.25" customHeight="1" s="35"/>
    <row r="626" ht="14.25" customHeight="1" s="35"/>
    <row r="627" ht="14.25" customHeight="1" s="35"/>
    <row r="628" ht="14.25" customHeight="1" s="35"/>
    <row r="629" ht="14.25" customHeight="1" s="35"/>
    <row r="630" ht="14.25" customHeight="1" s="35"/>
    <row r="631" ht="14.25" customHeight="1" s="35"/>
    <row r="632" ht="14.25" customHeight="1" s="35"/>
    <row r="633" ht="14.25" customHeight="1" s="35"/>
    <row r="634" ht="14.25" customHeight="1" s="35"/>
    <row r="635" ht="14.25" customHeight="1" s="35"/>
    <row r="636" ht="14.25" customHeight="1" s="35"/>
    <row r="637" ht="14.25" customHeight="1" s="35"/>
    <row r="638" ht="14.25" customHeight="1" s="35"/>
    <row r="639" ht="14.25" customHeight="1" s="35"/>
    <row r="640" ht="14.25" customHeight="1" s="35"/>
    <row r="641" ht="14.25" customHeight="1" s="35"/>
    <row r="642" ht="14.25" customHeight="1" s="35"/>
    <row r="643" ht="14.25" customHeight="1" s="35"/>
    <row r="644" ht="14.25" customHeight="1" s="35"/>
    <row r="645" ht="14.25" customHeight="1" s="35"/>
    <row r="646" ht="14.25" customHeight="1" s="35"/>
    <row r="647" ht="14.25" customHeight="1" s="35"/>
    <row r="648" ht="14.25" customHeight="1" s="35"/>
    <row r="649" ht="14.25" customHeight="1" s="35"/>
    <row r="650" ht="14.25" customHeight="1" s="35"/>
    <row r="651" ht="14.25" customHeight="1" s="35"/>
    <row r="652" ht="14.25" customHeight="1" s="35"/>
    <row r="653" ht="14.25" customHeight="1" s="35"/>
    <row r="654" ht="14.25" customHeight="1" s="35"/>
    <row r="655" ht="14.25" customHeight="1" s="35"/>
    <row r="656" ht="14.25" customHeight="1" s="35"/>
    <row r="657" ht="14.25" customHeight="1" s="35"/>
    <row r="658" ht="14.25" customHeight="1" s="35"/>
    <row r="659" ht="14.25" customHeight="1" s="35"/>
    <row r="660" ht="14.25" customHeight="1" s="35"/>
    <row r="661" ht="14.25" customHeight="1" s="35"/>
    <row r="662" ht="14.25" customHeight="1" s="35"/>
    <row r="663" ht="14.25" customHeight="1" s="35"/>
    <row r="664" ht="14.25" customHeight="1" s="35"/>
    <row r="665" ht="14.25" customHeight="1" s="35"/>
    <row r="666" ht="14.25" customHeight="1" s="35"/>
    <row r="667" ht="14.25" customHeight="1" s="35"/>
    <row r="668" ht="14.25" customHeight="1" s="35"/>
    <row r="669" ht="14.25" customHeight="1" s="35"/>
    <row r="670" ht="14.25" customHeight="1" s="35"/>
    <row r="671" ht="14.25" customHeight="1" s="35"/>
    <row r="672" ht="14.25" customHeight="1" s="35"/>
    <row r="673" ht="14.25" customHeight="1" s="35"/>
    <row r="674" ht="14.25" customHeight="1" s="35"/>
    <row r="675" ht="14.25" customHeight="1" s="35"/>
    <row r="676" ht="14.25" customHeight="1" s="35"/>
    <row r="677" ht="14.25" customHeight="1" s="35"/>
    <row r="678" ht="14.25" customHeight="1" s="35"/>
    <row r="679" ht="14.25" customHeight="1" s="35"/>
    <row r="680" ht="14.25" customHeight="1" s="35"/>
    <row r="681" ht="14.25" customHeight="1" s="35"/>
    <row r="682" ht="14.25" customHeight="1" s="35"/>
    <row r="683" ht="14.25" customHeight="1" s="35"/>
    <row r="684" ht="14.25" customHeight="1" s="35"/>
    <row r="685" ht="14.25" customHeight="1" s="35"/>
    <row r="686" ht="14.25" customHeight="1" s="35"/>
    <row r="687" ht="14.25" customHeight="1" s="35"/>
    <row r="688" ht="14.25" customHeight="1" s="35"/>
    <row r="689" ht="14.25" customHeight="1" s="35"/>
    <row r="690" ht="14.25" customHeight="1" s="35"/>
    <row r="691" ht="14.25" customHeight="1" s="35"/>
    <row r="692" ht="14.25" customHeight="1" s="35"/>
    <row r="693" ht="14.25" customHeight="1" s="35"/>
    <row r="694" ht="14.25" customHeight="1" s="35"/>
    <row r="695" ht="14.25" customHeight="1" s="35"/>
    <row r="696" ht="14.25" customHeight="1" s="35"/>
    <row r="697" ht="14.25" customHeight="1" s="35"/>
    <row r="698" ht="14.25" customHeight="1" s="35"/>
    <row r="699" ht="14.25" customHeight="1" s="35"/>
    <row r="700" ht="14.25" customHeight="1" s="35"/>
    <row r="701" ht="14.25" customHeight="1" s="35"/>
    <row r="702" ht="14.25" customHeight="1" s="35"/>
    <row r="703" ht="14.25" customHeight="1" s="35"/>
    <row r="704" ht="14.25" customHeight="1" s="35"/>
    <row r="705" ht="14.25" customHeight="1" s="35"/>
    <row r="706" ht="14.25" customHeight="1" s="35"/>
    <row r="707" ht="14.25" customHeight="1" s="35"/>
    <row r="708" ht="14.25" customHeight="1" s="35"/>
    <row r="709" ht="14.25" customHeight="1" s="35"/>
    <row r="710" ht="14.25" customHeight="1" s="35"/>
    <row r="711" ht="14.25" customHeight="1" s="35"/>
    <row r="712" ht="14.25" customHeight="1" s="35"/>
    <row r="713" ht="14.25" customHeight="1" s="35"/>
    <row r="714" ht="14.25" customHeight="1" s="35"/>
    <row r="715" ht="14.25" customHeight="1" s="35"/>
    <row r="716" ht="14.25" customHeight="1" s="35"/>
    <row r="717" ht="14.25" customHeight="1" s="35"/>
    <row r="718" ht="14.25" customHeight="1" s="35"/>
    <row r="719" ht="14.25" customHeight="1" s="35"/>
    <row r="720" ht="14.25" customHeight="1" s="35"/>
    <row r="721" ht="14.25" customHeight="1" s="35"/>
    <row r="722" ht="14.25" customHeight="1" s="35"/>
    <row r="723" ht="14.25" customHeight="1" s="35"/>
    <row r="724" ht="14.25" customHeight="1" s="35"/>
    <row r="725" ht="14.25" customHeight="1" s="35"/>
    <row r="726" ht="14.25" customHeight="1" s="35"/>
    <row r="727" ht="14.25" customHeight="1" s="35"/>
    <row r="728" ht="14.25" customHeight="1" s="35"/>
    <row r="729" ht="14.25" customHeight="1" s="35"/>
    <row r="730" ht="14.25" customHeight="1" s="35"/>
    <row r="731" ht="14.25" customHeight="1" s="35"/>
    <row r="732" ht="14.25" customHeight="1" s="35"/>
    <row r="733" ht="14.25" customHeight="1" s="35"/>
    <row r="734" ht="14.25" customHeight="1" s="35"/>
    <row r="735" ht="14.25" customHeight="1" s="35"/>
    <row r="736" ht="14.25" customHeight="1" s="35"/>
    <row r="737" ht="14.25" customHeight="1" s="35"/>
    <row r="738" ht="14.25" customHeight="1" s="35"/>
    <row r="739" ht="14.25" customHeight="1" s="35"/>
    <row r="740" ht="14.25" customHeight="1" s="35"/>
    <row r="741" ht="14.25" customHeight="1" s="35"/>
    <row r="742" ht="14.25" customHeight="1" s="35"/>
    <row r="743" ht="14.25" customHeight="1" s="35"/>
    <row r="744" ht="14.25" customHeight="1" s="35"/>
    <row r="745" ht="14.25" customHeight="1" s="35"/>
    <row r="746" ht="14.25" customHeight="1" s="35"/>
    <row r="747" ht="14.25" customHeight="1" s="35"/>
    <row r="748" ht="14.25" customHeight="1" s="35"/>
    <row r="749" ht="14.25" customHeight="1" s="35"/>
    <row r="750" ht="14.25" customHeight="1" s="35"/>
    <row r="751" ht="14.25" customHeight="1" s="35"/>
    <row r="752" ht="14.25" customHeight="1" s="35"/>
    <row r="753" ht="14.25" customHeight="1" s="35"/>
    <row r="754" ht="14.25" customHeight="1" s="35"/>
    <row r="755" ht="14.25" customHeight="1" s="35"/>
    <row r="756" ht="14.25" customHeight="1" s="35"/>
    <row r="757" ht="14.25" customHeight="1" s="35"/>
    <row r="758" ht="14.25" customHeight="1" s="35"/>
    <row r="759" ht="14.25" customHeight="1" s="35"/>
    <row r="760" ht="14.25" customHeight="1" s="35"/>
    <row r="761" ht="14.25" customHeight="1" s="35"/>
    <row r="762" ht="14.25" customHeight="1" s="35"/>
    <row r="763" ht="14.25" customHeight="1" s="35"/>
    <row r="764" ht="14.25" customHeight="1" s="35"/>
    <row r="765" ht="14.25" customHeight="1" s="35"/>
    <row r="766" ht="14.25" customHeight="1" s="35"/>
    <row r="767" ht="14.25" customHeight="1" s="35"/>
    <row r="768" ht="14.25" customHeight="1" s="35"/>
    <row r="769" ht="14.25" customHeight="1" s="35"/>
    <row r="770" ht="14.25" customHeight="1" s="35"/>
    <row r="771" ht="14.25" customHeight="1" s="35"/>
    <row r="772" ht="14.25" customHeight="1" s="35"/>
    <row r="773" ht="14.25" customHeight="1" s="35"/>
    <row r="774" ht="14.25" customHeight="1" s="35"/>
    <row r="775" ht="14.25" customHeight="1" s="35"/>
    <row r="776" ht="14.25" customHeight="1" s="35"/>
    <row r="777" ht="14.25" customHeight="1" s="35"/>
    <row r="778" ht="14.25" customHeight="1" s="35"/>
    <row r="779" ht="14.25" customHeight="1" s="35"/>
    <row r="780" ht="14.25" customHeight="1" s="35"/>
    <row r="781" ht="14.25" customHeight="1" s="35"/>
    <row r="782" ht="14.25" customHeight="1" s="35"/>
    <row r="783" ht="14.25" customHeight="1" s="35"/>
    <row r="784" ht="14.25" customHeight="1" s="35"/>
    <row r="785" ht="14.25" customHeight="1" s="35"/>
    <row r="786" ht="14.25" customHeight="1" s="35"/>
    <row r="787" ht="14.25" customHeight="1" s="35"/>
    <row r="788" ht="14.25" customHeight="1" s="35"/>
    <row r="789" ht="14.25" customHeight="1" s="35"/>
    <row r="790" ht="14.25" customHeight="1" s="35"/>
    <row r="791" ht="14.25" customHeight="1" s="35"/>
    <row r="792" ht="14.25" customHeight="1" s="35"/>
    <row r="793" ht="14.25" customHeight="1" s="35"/>
    <row r="794" ht="14.25" customHeight="1" s="35"/>
    <row r="795" ht="14.25" customHeight="1" s="35"/>
    <row r="796" ht="14.25" customHeight="1" s="35"/>
    <row r="797" ht="14.25" customHeight="1" s="35"/>
    <row r="798" ht="14.25" customHeight="1" s="35"/>
    <row r="799" ht="14.25" customHeight="1" s="35"/>
    <row r="800" ht="14.25" customHeight="1" s="35"/>
    <row r="801" ht="14.25" customHeight="1" s="35"/>
    <row r="802" ht="14.25" customHeight="1" s="35"/>
    <row r="803" ht="14.25" customHeight="1" s="35"/>
    <row r="804" ht="14.25" customHeight="1" s="35"/>
    <row r="805" ht="14.25" customHeight="1" s="35"/>
    <row r="806" ht="14.25" customHeight="1" s="35"/>
    <row r="807" ht="14.25" customHeight="1" s="35"/>
    <row r="808" ht="14.25" customHeight="1" s="35"/>
    <row r="809" ht="14.25" customHeight="1" s="35"/>
    <row r="810" ht="14.25" customHeight="1" s="35"/>
    <row r="811" ht="14.25" customHeight="1" s="35"/>
    <row r="812" ht="14.25" customHeight="1" s="35"/>
    <row r="813" ht="14.25" customHeight="1" s="35"/>
    <row r="814" ht="14.25" customHeight="1" s="35"/>
    <row r="815" ht="14.25" customHeight="1" s="35"/>
    <row r="816" ht="14.25" customHeight="1" s="35"/>
    <row r="817" ht="14.25" customHeight="1" s="35"/>
    <row r="818" ht="14.25" customHeight="1" s="35"/>
    <row r="819" ht="14.25" customHeight="1" s="35"/>
    <row r="820" ht="14.25" customHeight="1" s="35"/>
    <row r="821" ht="14.25" customHeight="1" s="35"/>
    <row r="822" ht="14.25" customHeight="1" s="35"/>
    <row r="823" ht="14.25" customHeight="1" s="35"/>
    <row r="824" ht="14.25" customHeight="1" s="35"/>
    <row r="825" ht="14.25" customHeight="1" s="35"/>
    <row r="826" ht="14.25" customHeight="1" s="35"/>
    <row r="827" ht="14.25" customHeight="1" s="35"/>
    <row r="828" ht="14.25" customHeight="1" s="35"/>
    <row r="829" ht="14.25" customHeight="1" s="35"/>
    <row r="830" ht="14.25" customHeight="1" s="35"/>
    <row r="831" ht="14.25" customHeight="1" s="35"/>
    <row r="832" ht="14.25" customHeight="1" s="35"/>
    <row r="833" ht="14.25" customHeight="1" s="35"/>
    <row r="834" ht="14.25" customHeight="1" s="35"/>
    <row r="835" ht="14.25" customHeight="1" s="35"/>
    <row r="836" ht="14.25" customHeight="1" s="35"/>
    <row r="837" ht="14.25" customHeight="1" s="35"/>
    <row r="838" ht="14.25" customHeight="1" s="35"/>
    <row r="839" ht="14.25" customHeight="1" s="35"/>
    <row r="840" ht="14.25" customHeight="1" s="35"/>
    <row r="841" ht="14.25" customHeight="1" s="35"/>
    <row r="842" ht="14.25" customHeight="1" s="35"/>
    <row r="843" ht="14.25" customHeight="1" s="35"/>
    <row r="844" ht="14.25" customHeight="1" s="35"/>
    <row r="845" ht="14.25" customHeight="1" s="35"/>
    <row r="846" ht="14.25" customHeight="1" s="35"/>
    <row r="847" ht="14.25" customHeight="1" s="35"/>
    <row r="848" ht="14.25" customHeight="1" s="35"/>
    <row r="849" ht="14.25" customHeight="1" s="35"/>
    <row r="850" ht="14.25" customHeight="1" s="35"/>
    <row r="851" ht="14.25" customHeight="1" s="35"/>
    <row r="852" ht="14.25" customHeight="1" s="35"/>
    <row r="853" ht="14.25" customHeight="1" s="35"/>
    <row r="854" ht="14.25" customHeight="1" s="35"/>
    <row r="855" ht="14.25" customHeight="1" s="35"/>
    <row r="856" ht="14.25" customHeight="1" s="35"/>
    <row r="857" ht="14.25" customHeight="1" s="35"/>
    <row r="858" ht="14.25" customHeight="1" s="35"/>
    <row r="859" ht="14.25" customHeight="1" s="35"/>
    <row r="860" ht="14.25" customHeight="1" s="35"/>
    <row r="861" ht="14.25" customHeight="1" s="35"/>
    <row r="862" ht="14.25" customHeight="1" s="35"/>
    <row r="863" ht="14.25" customHeight="1" s="35"/>
    <row r="864" ht="14.25" customHeight="1" s="35"/>
    <row r="865" ht="14.25" customHeight="1" s="35"/>
    <row r="866" ht="14.25" customHeight="1" s="35"/>
    <row r="867" ht="14.25" customHeight="1" s="35"/>
    <row r="868" ht="14.25" customHeight="1" s="35"/>
    <row r="869" ht="14.25" customHeight="1" s="35"/>
    <row r="870" ht="14.25" customHeight="1" s="35"/>
    <row r="871" ht="14.25" customHeight="1" s="35"/>
    <row r="872" ht="14.25" customHeight="1" s="35"/>
    <row r="873" ht="14.25" customHeight="1" s="35"/>
    <row r="874" ht="14.25" customHeight="1" s="35"/>
    <row r="875" ht="14.25" customHeight="1" s="35"/>
    <row r="876" ht="14.25" customHeight="1" s="35"/>
    <row r="877" ht="14.25" customHeight="1" s="35"/>
    <row r="878" ht="14.25" customHeight="1" s="35"/>
    <row r="879" ht="14.25" customHeight="1" s="35"/>
    <row r="880" ht="14.25" customHeight="1" s="35"/>
    <row r="881" ht="14.25" customHeight="1" s="35"/>
    <row r="882" ht="14.25" customHeight="1" s="35"/>
    <row r="883" ht="14.25" customHeight="1" s="35"/>
    <row r="884" ht="14.25" customHeight="1" s="35"/>
    <row r="885" ht="14.25" customHeight="1" s="35"/>
    <row r="886" ht="14.25" customHeight="1" s="35"/>
    <row r="887" ht="14.25" customHeight="1" s="35"/>
    <row r="888" ht="14.25" customHeight="1" s="35"/>
    <row r="889" ht="14.25" customHeight="1" s="35"/>
    <row r="890" ht="14.25" customHeight="1" s="35"/>
    <row r="891" ht="14.25" customHeight="1" s="35"/>
    <row r="892" ht="14.25" customHeight="1" s="35"/>
    <row r="893" ht="14.25" customHeight="1" s="35"/>
    <row r="894" ht="14.25" customHeight="1" s="35"/>
    <row r="895" ht="14.25" customHeight="1" s="35"/>
    <row r="896" ht="14.25" customHeight="1" s="35"/>
    <row r="897" ht="14.25" customHeight="1" s="35"/>
    <row r="898" ht="14.25" customHeight="1" s="35"/>
    <row r="899" ht="14.25" customHeight="1" s="35"/>
    <row r="900" ht="14.25" customHeight="1" s="35"/>
    <row r="901" ht="14.25" customHeight="1" s="35"/>
    <row r="902" ht="14.25" customHeight="1" s="35"/>
    <row r="903" ht="14.25" customHeight="1" s="35"/>
    <row r="904" ht="14.25" customHeight="1" s="35"/>
    <row r="905" ht="14.25" customHeight="1" s="35"/>
    <row r="906" ht="14.25" customHeight="1" s="35"/>
    <row r="907" ht="14.25" customHeight="1" s="35"/>
    <row r="908" ht="14.25" customHeight="1" s="35"/>
    <row r="909" ht="14.25" customHeight="1" s="35"/>
    <row r="910" ht="14.25" customHeight="1" s="35"/>
    <row r="911" ht="14.25" customHeight="1" s="35"/>
    <row r="912" ht="14.25" customHeight="1" s="35"/>
    <row r="913" ht="14.25" customHeight="1" s="35"/>
    <row r="914" ht="14.25" customHeight="1" s="35"/>
    <row r="915" ht="14.25" customHeight="1" s="35"/>
    <row r="916" ht="14.25" customHeight="1" s="35"/>
    <row r="917" ht="14.25" customHeight="1" s="35"/>
    <row r="918" ht="14.25" customHeight="1" s="35"/>
    <row r="919" ht="14.25" customHeight="1" s="35"/>
    <row r="920" ht="14.25" customHeight="1" s="35"/>
    <row r="921" ht="14.25" customHeight="1" s="35"/>
    <row r="922" ht="14.25" customHeight="1" s="35"/>
    <row r="923" ht="14.25" customHeight="1" s="35"/>
    <row r="924" ht="14.25" customHeight="1" s="35"/>
    <row r="925" ht="14.25" customHeight="1" s="35"/>
    <row r="926" ht="14.25" customHeight="1" s="35"/>
    <row r="927" ht="14.25" customHeight="1" s="35"/>
    <row r="928" ht="14.25" customHeight="1" s="35"/>
    <row r="929" ht="14.25" customHeight="1" s="35"/>
    <row r="930" ht="14.25" customHeight="1" s="35"/>
    <row r="931" ht="14.25" customHeight="1" s="35"/>
    <row r="932" ht="14.25" customHeight="1" s="35"/>
    <row r="933" ht="14.25" customHeight="1" s="35"/>
    <row r="934" ht="14.25" customHeight="1" s="35"/>
    <row r="935" ht="14.25" customHeight="1" s="35"/>
    <row r="936" ht="14.25" customHeight="1" s="35"/>
    <row r="937" ht="14.25" customHeight="1" s="35"/>
    <row r="938" ht="14.25" customHeight="1" s="35"/>
    <row r="939" ht="14.25" customHeight="1" s="35"/>
    <row r="940" ht="14.25" customHeight="1" s="35"/>
    <row r="941" ht="14.25" customHeight="1" s="35"/>
    <row r="942" ht="14.25" customHeight="1" s="35"/>
    <row r="943" ht="14.25" customHeight="1" s="35"/>
    <row r="944" ht="14.25" customHeight="1" s="35"/>
    <row r="945" ht="14.25" customHeight="1" s="35"/>
    <row r="946" ht="14.25" customHeight="1" s="35"/>
    <row r="947" ht="14.25" customHeight="1" s="35"/>
    <row r="948" ht="14.25" customHeight="1" s="35"/>
    <row r="949" ht="14.25" customHeight="1" s="35"/>
    <row r="950" ht="14.25" customHeight="1" s="35"/>
    <row r="951" ht="14.25" customHeight="1" s="35"/>
    <row r="952" ht="14.25" customHeight="1" s="35"/>
    <row r="953" ht="14.25" customHeight="1" s="35"/>
    <row r="954" ht="14.25" customHeight="1" s="35"/>
    <row r="955" ht="14.25" customHeight="1" s="35"/>
    <row r="956" ht="14.25" customHeight="1" s="35"/>
    <row r="957" ht="14.25" customHeight="1" s="35"/>
    <row r="958" ht="14.25" customHeight="1" s="35"/>
    <row r="959" ht="14.25" customHeight="1" s="35"/>
    <row r="960" ht="14.25" customHeight="1" s="35"/>
    <row r="961" ht="14.25" customHeight="1" s="35"/>
    <row r="962" ht="14.25" customHeight="1" s="35"/>
    <row r="963" ht="14.25" customHeight="1" s="35"/>
    <row r="964" ht="14.25" customHeight="1" s="35"/>
    <row r="965" ht="14.25" customHeight="1" s="35"/>
    <row r="966" ht="14.25" customHeight="1" s="35"/>
    <row r="967" ht="14.25" customHeight="1" s="35"/>
    <row r="968" ht="14.25" customHeight="1" s="35"/>
    <row r="969" ht="14.25" customHeight="1" s="35"/>
    <row r="970" ht="14.25" customHeight="1" s="35"/>
    <row r="971" ht="14.25" customHeight="1" s="35"/>
    <row r="972" ht="14.25" customHeight="1" s="35"/>
    <row r="973" ht="14.25" customHeight="1" s="35"/>
    <row r="974" ht="14.25" customHeight="1" s="35"/>
    <row r="975" ht="14.25" customHeight="1" s="35"/>
    <row r="976" ht="14.25" customHeight="1" s="35"/>
    <row r="977" ht="14.25" customHeight="1" s="35"/>
    <row r="978" ht="14.25" customHeight="1" s="35"/>
    <row r="979" ht="14.25" customHeight="1" s="35"/>
    <row r="980" ht="14.25" customHeight="1" s="35"/>
    <row r="981" ht="14.25" customHeight="1" s="35"/>
    <row r="982" ht="14.25" customHeight="1" s="35"/>
    <row r="983" ht="14.25" customHeight="1" s="35"/>
    <row r="984" ht="14.25" customHeight="1" s="35"/>
    <row r="985" ht="14.25" customHeight="1" s="35"/>
    <row r="986" ht="14.25" customHeight="1" s="35"/>
    <row r="987" ht="14.25" customHeight="1" s="35"/>
    <row r="988" ht="14.25" customHeight="1" s="35"/>
    <row r="989" ht="14.25" customHeight="1" s="35"/>
    <row r="990" ht="14.25" customHeight="1" s="35"/>
    <row r="991" ht="14.25" customHeight="1" s="35"/>
    <row r="992" ht="14.25" customHeight="1" s="35"/>
    <row r="993" ht="14.25" customHeight="1" s="35"/>
    <row r="994" ht="14.25" customHeight="1" s="35"/>
    <row r="995" ht="14.25" customHeight="1" s="35"/>
    <row r="996" ht="14.25" customHeight="1" s="35"/>
    <row r="997" ht="14.25" customHeight="1" s="35"/>
    <row r="998" ht="14.25" customHeight="1" s="35"/>
    <row r="999" ht="14.25" customHeight="1" s="35"/>
    <row r="1000" ht="14.25" customHeight="1" s="35"/>
  </sheetData>
  <mergeCells count="2">
    <mergeCell ref="D2:D3"/>
    <mergeCell ref="B2:C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2026-04-16T04:25:27Z</dcterms:modified>
  <cp:lastModifiedBy>yonatan kwee</cp:lastModifiedBy>
</cp:coreProperties>
</file>