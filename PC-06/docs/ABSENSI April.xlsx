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Absensi\"/>
    </mc:Choice>
  </mc:AlternateContent>
  <xr:revisionPtr revIDLastSave="0" documentId="13_ncr:1_{9EB0E673-B225-4AEE-87B2-BF6FA129B155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Absen PG" sheetId="1" r:id="rId1"/>
    <sheet name="TKa" sheetId="2" r:id="rId2"/>
    <sheet name="TKB1" sheetId="3" r:id="rId3"/>
    <sheet name="TKB(2)" sheetId="4" r:id="rId4"/>
    <sheet name="Dat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3" i="5" l="1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B7" i="4" s="1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B39" i="4" s="1"/>
  <c r="A5" i="5"/>
  <c r="A4" i="5"/>
  <c r="AH51" i="4"/>
  <c r="AG51" i="4"/>
  <c r="AF51" i="4"/>
  <c r="AE51" i="4"/>
  <c r="AD51" i="4"/>
  <c r="AC51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AH49" i="4"/>
  <c r="AG49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AO46" i="4"/>
  <c r="AN46" i="4"/>
  <c r="AM46" i="4"/>
  <c r="AL46" i="4"/>
  <c r="AN45" i="4"/>
  <c r="AM45" i="4"/>
  <c r="AL45" i="4"/>
  <c r="AO45" i="4" s="1"/>
  <c r="AN44" i="4"/>
  <c r="AM44" i="4"/>
  <c r="AL44" i="4"/>
  <c r="AO44" i="4" s="1"/>
  <c r="AN43" i="4"/>
  <c r="AM43" i="4"/>
  <c r="AL43" i="4"/>
  <c r="AO43" i="4" s="1"/>
  <c r="AN42" i="4"/>
  <c r="AM42" i="4"/>
  <c r="AL42" i="4"/>
  <c r="AO42" i="4" s="1"/>
  <c r="AN41" i="4"/>
  <c r="AM41" i="4"/>
  <c r="AO41" i="4" s="1"/>
  <c r="AL41" i="4"/>
  <c r="AN40" i="4"/>
  <c r="AO40" i="4" s="1"/>
  <c r="AM40" i="4"/>
  <c r="AL40" i="4"/>
  <c r="AN39" i="4"/>
  <c r="AM39" i="4"/>
  <c r="AL39" i="4"/>
  <c r="AO39" i="4" s="1"/>
  <c r="AO38" i="4"/>
  <c r="AN38" i="4"/>
  <c r="AM38" i="4"/>
  <c r="AL38" i="4"/>
  <c r="AN37" i="4"/>
  <c r="AM37" i="4"/>
  <c r="AL37" i="4"/>
  <c r="AO37" i="4" s="1"/>
  <c r="AN36" i="4"/>
  <c r="AM36" i="4"/>
  <c r="AL36" i="4"/>
  <c r="AN35" i="4"/>
  <c r="AM35" i="4"/>
  <c r="AL35" i="4"/>
  <c r="AO35" i="4" s="1"/>
  <c r="AN34" i="4"/>
  <c r="AM34" i="4"/>
  <c r="AL34" i="4"/>
  <c r="AO34" i="4" s="1"/>
  <c r="AN33" i="4"/>
  <c r="AM33" i="4"/>
  <c r="AO33" i="4" s="1"/>
  <c r="AL33" i="4"/>
  <c r="AN32" i="4"/>
  <c r="AO32" i="4" s="1"/>
  <c r="AM32" i="4"/>
  <c r="AL32" i="4"/>
  <c r="AN31" i="4"/>
  <c r="AM31" i="4"/>
  <c r="AL31" i="4"/>
  <c r="AO31" i="4" s="1"/>
  <c r="AO30" i="4"/>
  <c r="AN30" i="4"/>
  <c r="AM30" i="4"/>
  <c r="AL30" i="4"/>
  <c r="AN29" i="4"/>
  <c r="AM29" i="4"/>
  <c r="AL29" i="4"/>
  <c r="AO29" i="4" s="1"/>
  <c r="AN28" i="4"/>
  <c r="AM28" i="4"/>
  <c r="AL28" i="4"/>
  <c r="AO28" i="4" s="1"/>
  <c r="AN27" i="4"/>
  <c r="AM27" i="4"/>
  <c r="AL27" i="4"/>
  <c r="AO27" i="4" s="1"/>
  <c r="AN26" i="4"/>
  <c r="AM26" i="4"/>
  <c r="AL26" i="4"/>
  <c r="AO26" i="4" s="1"/>
  <c r="AN25" i="4"/>
  <c r="AM25" i="4"/>
  <c r="AO25" i="4" s="1"/>
  <c r="AL25" i="4"/>
  <c r="AN24" i="4"/>
  <c r="AO24" i="4" s="1"/>
  <c r="AM24" i="4"/>
  <c r="AL24" i="4"/>
  <c r="AN23" i="4"/>
  <c r="AM23" i="4"/>
  <c r="AL23" i="4"/>
  <c r="AO23" i="4" s="1"/>
  <c r="AO22" i="4"/>
  <c r="AN22" i="4"/>
  <c r="AM22" i="4"/>
  <c r="AL22" i="4"/>
  <c r="AN21" i="4"/>
  <c r="AM21" i="4"/>
  <c r="AL21" i="4"/>
  <c r="AO21" i="4" s="1"/>
  <c r="AN20" i="4"/>
  <c r="AM20" i="4"/>
  <c r="AL20" i="4"/>
  <c r="AO20" i="4" s="1"/>
  <c r="AN19" i="4"/>
  <c r="AM19" i="4"/>
  <c r="AL19" i="4"/>
  <c r="AO19" i="4" s="1"/>
  <c r="AN18" i="4"/>
  <c r="AM18" i="4"/>
  <c r="AL18" i="4"/>
  <c r="AO18" i="4" s="1"/>
  <c r="AN17" i="4"/>
  <c r="AO17" i="4" s="1"/>
  <c r="AM17" i="4"/>
  <c r="AL17" i="4"/>
  <c r="AN16" i="4"/>
  <c r="AO16" i="4" s="1"/>
  <c r="AM16" i="4"/>
  <c r="AL16" i="4"/>
  <c r="AN15" i="4"/>
  <c r="AM15" i="4"/>
  <c r="AL15" i="4"/>
  <c r="AO15" i="4" s="1"/>
  <c r="AO14" i="4"/>
  <c r="AN14" i="4"/>
  <c r="AM14" i="4"/>
  <c r="AL14" i="4"/>
  <c r="AN13" i="4"/>
  <c r="AM13" i="4"/>
  <c r="AL13" i="4"/>
  <c r="AO13" i="4" s="1"/>
  <c r="AN12" i="4"/>
  <c r="AM12" i="4"/>
  <c r="AL12" i="4"/>
  <c r="AO12" i="4" s="1"/>
  <c r="AN11" i="4"/>
  <c r="AM11" i="4"/>
  <c r="AL11" i="4"/>
  <c r="AO11" i="4" s="1"/>
  <c r="AN10" i="4"/>
  <c r="AM10" i="4"/>
  <c r="AL10" i="4"/>
  <c r="AO10" i="4" s="1"/>
  <c r="AN9" i="4"/>
  <c r="AM9" i="4"/>
  <c r="AO9" i="4" s="1"/>
  <c r="AL9" i="4"/>
  <c r="AN8" i="4"/>
  <c r="AO8" i="4" s="1"/>
  <c r="AM8" i="4"/>
  <c r="AL8" i="4"/>
  <c r="AN7" i="4"/>
  <c r="AM7" i="4"/>
  <c r="AL7" i="4"/>
  <c r="AO7" i="4" s="1"/>
  <c r="C4" i="4"/>
  <c r="C3" i="4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AO46" i="3"/>
  <c r="AN46" i="3"/>
  <c r="AM46" i="3"/>
  <c r="AL46" i="3"/>
  <c r="AO45" i="3"/>
  <c r="AN45" i="3"/>
  <c r="AM45" i="3"/>
  <c r="AL45" i="3"/>
  <c r="AN44" i="3"/>
  <c r="AM44" i="3"/>
  <c r="AL44" i="3"/>
  <c r="AN43" i="3"/>
  <c r="AM43" i="3"/>
  <c r="AL43" i="3"/>
  <c r="AO43" i="3" s="1"/>
  <c r="AN42" i="3"/>
  <c r="AM42" i="3"/>
  <c r="AL42" i="3"/>
  <c r="AO42" i="3" s="1"/>
  <c r="AN41" i="3"/>
  <c r="AM41" i="3"/>
  <c r="AL41" i="3"/>
  <c r="AO41" i="3" s="1"/>
  <c r="AN40" i="3"/>
  <c r="AM40" i="3"/>
  <c r="AL40" i="3"/>
  <c r="AO40" i="3" s="1"/>
  <c r="AN39" i="3"/>
  <c r="AM39" i="3"/>
  <c r="AL39" i="3"/>
  <c r="AO39" i="3" s="1"/>
  <c r="AN38" i="3"/>
  <c r="AO38" i="3" s="1"/>
  <c r="AM38" i="3"/>
  <c r="AL38" i="3"/>
  <c r="AO37" i="3"/>
  <c r="AN37" i="3"/>
  <c r="AM37" i="3"/>
  <c r="AL37" i="3"/>
  <c r="AN36" i="3"/>
  <c r="AM36" i="3"/>
  <c r="AL36" i="3"/>
  <c r="AO36" i="3" s="1"/>
  <c r="AN35" i="3"/>
  <c r="AM35" i="3"/>
  <c r="AL35" i="3"/>
  <c r="AO35" i="3" s="1"/>
  <c r="AN34" i="3"/>
  <c r="AM34" i="3"/>
  <c r="AL34" i="3"/>
  <c r="AO34" i="3" s="1"/>
  <c r="AN33" i="3"/>
  <c r="AM33" i="3"/>
  <c r="AL33" i="3"/>
  <c r="AN32" i="3"/>
  <c r="AM32" i="3"/>
  <c r="AL32" i="3"/>
  <c r="AO32" i="3" s="1"/>
  <c r="AN31" i="3"/>
  <c r="AM31" i="3"/>
  <c r="AL31" i="3"/>
  <c r="AO31" i="3" s="1"/>
  <c r="AN30" i="3"/>
  <c r="AO30" i="3" s="1"/>
  <c r="AM30" i="3"/>
  <c r="AL30" i="3"/>
  <c r="AO29" i="3"/>
  <c r="AN29" i="3"/>
  <c r="AM29" i="3"/>
  <c r="AL29" i="3"/>
  <c r="AN28" i="3"/>
  <c r="AM28" i="3"/>
  <c r="AL28" i="3"/>
  <c r="AO28" i="3" s="1"/>
  <c r="AN27" i="3"/>
  <c r="AM27" i="3"/>
  <c r="AL27" i="3"/>
  <c r="AO27" i="3" s="1"/>
  <c r="AN26" i="3"/>
  <c r="AM26" i="3"/>
  <c r="AL26" i="3"/>
  <c r="AO26" i="3" s="1"/>
  <c r="AN25" i="3"/>
  <c r="AM25" i="3"/>
  <c r="AL25" i="3"/>
  <c r="AO25" i="3" s="1"/>
  <c r="AN24" i="3"/>
  <c r="AM24" i="3"/>
  <c r="AL24" i="3"/>
  <c r="AO24" i="3" s="1"/>
  <c r="AN23" i="3"/>
  <c r="AM23" i="3"/>
  <c r="AL23" i="3"/>
  <c r="AO23" i="3" s="1"/>
  <c r="AN22" i="3"/>
  <c r="AO22" i="3" s="1"/>
  <c r="AM22" i="3"/>
  <c r="AL22" i="3"/>
  <c r="AO21" i="3"/>
  <c r="AN21" i="3"/>
  <c r="AM21" i="3"/>
  <c r="AL21" i="3"/>
  <c r="AN20" i="3"/>
  <c r="AM20" i="3"/>
  <c r="AL20" i="3"/>
  <c r="AO20" i="3" s="1"/>
  <c r="AN19" i="3"/>
  <c r="AM19" i="3"/>
  <c r="AL19" i="3"/>
  <c r="AO19" i="3" s="1"/>
  <c r="AN18" i="3"/>
  <c r="AM18" i="3"/>
  <c r="AL18" i="3"/>
  <c r="AO18" i="3" s="1"/>
  <c r="AN17" i="3"/>
  <c r="AM17" i="3"/>
  <c r="AL17" i="3"/>
  <c r="AO17" i="3" s="1"/>
  <c r="AN16" i="3"/>
  <c r="AM16" i="3"/>
  <c r="AL16" i="3"/>
  <c r="AO16" i="3" s="1"/>
  <c r="AN15" i="3"/>
  <c r="AM15" i="3"/>
  <c r="AL15" i="3"/>
  <c r="AO15" i="3" s="1"/>
  <c r="AN14" i="3"/>
  <c r="AO14" i="3" s="1"/>
  <c r="AM14" i="3"/>
  <c r="AL14" i="3"/>
  <c r="AO13" i="3"/>
  <c r="AN13" i="3"/>
  <c r="AM13" i="3"/>
  <c r="AL13" i="3"/>
  <c r="AN12" i="3"/>
  <c r="AM12" i="3"/>
  <c r="AL12" i="3"/>
  <c r="AO12" i="3" s="1"/>
  <c r="AN11" i="3"/>
  <c r="AM11" i="3"/>
  <c r="AL11" i="3"/>
  <c r="AO11" i="3" s="1"/>
  <c r="AN10" i="3"/>
  <c r="AM10" i="3"/>
  <c r="AL10" i="3"/>
  <c r="AO10" i="3" s="1"/>
  <c r="AN9" i="3"/>
  <c r="AM9" i="3"/>
  <c r="AL9" i="3"/>
  <c r="AO9" i="3" s="1"/>
  <c r="AN8" i="3"/>
  <c r="AM8" i="3"/>
  <c r="AL8" i="3"/>
  <c r="AO8" i="3" s="1"/>
  <c r="AN7" i="3"/>
  <c r="AM7" i="3"/>
  <c r="AL7" i="3"/>
  <c r="AO7" i="3" s="1"/>
  <c r="C4" i="3"/>
  <c r="C3" i="3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AO46" i="2"/>
  <c r="AN46" i="2"/>
  <c r="AM46" i="2"/>
  <c r="AL46" i="2"/>
  <c r="AN45" i="2"/>
  <c r="AO45" i="2" s="1"/>
  <c r="AM45" i="2"/>
  <c r="AL45" i="2"/>
  <c r="AN44" i="2"/>
  <c r="AM44" i="2"/>
  <c r="AL44" i="2"/>
  <c r="AO44" i="2" s="1"/>
  <c r="AO43" i="2"/>
  <c r="AN43" i="2"/>
  <c r="AM43" i="2"/>
  <c r="AL43" i="2"/>
  <c r="AN42" i="2"/>
  <c r="AM42" i="2"/>
  <c r="AL42" i="2"/>
  <c r="AO42" i="2" s="1"/>
  <c r="AN41" i="2"/>
  <c r="AM41" i="2"/>
  <c r="AL41" i="2"/>
  <c r="AO41" i="2" s="1"/>
  <c r="AN40" i="2"/>
  <c r="AM40" i="2"/>
  <c r="AL40" i="2"/>
  <c r="AO40" i="2" s="1"/>
  <c r="AN39" i="2"/>
  <c r="AM39" i="2"/>
  <c r="AL39" i="2"/>
  <c r="AO39" i="2" s="1"/>
  <c r="AN38" i="2"/>
  <c r="AM38" i="2"/>
  <c r="AO38" i="2" s="1"/>
  <c r="AL38" i="2"/>
  <c r="AN37" i="2"/>
  <c r="AO37" i="2" s="1"/>
  <c r="AM37" i="2"/>
  <c r="AL37" i="2"/>
  <c r="AN36" i="2"/>
  <c r="AM36" i="2"/>
  <c r="AL36" i="2"/>
  <c r="AO36" i="2" s="1"/>
  <c r="AO35" i="2"/>
  <c r="AN35" i="2"/>
  <c r="AM35" i="2"/>
  <c r="AL35" i="2"/>
  <c r="AN34" i="2"/>
  <c r="AM34" i="2"/>
  <c r="AL34" i="2"/>
  <c r="AO34" i="2" s="1"/>
  <c r="AN33" i="2"/>
  <c r="AM33" i="2"/>
  <c r="AL33" i="2"/>
  <c r="AO33" i="2" s="1"/>
  <c r="AN32" i="2"/>
  <c r="AM32" i="2"/>
  <c r="AL32" i="2"/>
  <c r="AO32" i="2" s="1"/>
  <c r="AN31" i="2"/>
  <c r="AM31" i="2"/>
  <c r="AL31" i="2"/>
  <c r="AO31" i="2" s="1"/>
  <c r="AN30" i="2"/>
  <c r="AM30" i="2"/>
  <c r="AO30" i="2" s="1"/>
  <c r="AL30" i="2"/>
  <c r="AN29" i="2"/>
  <c r="AM29" i="2"/>
  <c r="AO29" i="2" s="1"/>
  <c r="AL29" i="2"/>
  <c r="AN28" i="2"/>
  <c r="AM28" i="2"/>
  <c r="AL28" i="2"/>
  <c r="AO28" i="2" s="1"/>
  <c r="AO27" i="2"/>
  <c r="AN27" i="2"/>
  <c r="AM27" i="2"/>
  <c r="AL27" i="2"/>
  <c r="AN26" i="2"/>
  <c r="AM26" i="2"/>
  <c r="AL26" i="2"/>
  <c r="AO26" i="2" s="1"/>
  <c r="AN25" i="2"/>
  <c r="AM25" i="2"/>
  <c r="AL25" i="2"/>
  <c r="AO25" i="2" s="1"/>
  <c r="AN24" i="2"/>
  <c r="AM24" i="2"/>
  <c r="AL24" i="2"/>
  <c r="AO24" i="2" s="1"/>
  <c r="AN23" i="2"/>
  <c r="AM23" i="2"/>
  <c r="AL23" i="2"/>
  <c r="AO23" i="2" s="1"/>
  <c r="AN22" i="2"/>
  <c r="AM22" i="2"/>
  <c r="AO22" i="2" s="1"/>
  <c r="AL22" i="2"/>
  <c r="AN21" i="2"/>
  <c r="AM21" i="2"/>
  <c r="AO21" i="2" s="1"/>
  <c r="AL21" i="2"/>
  <c r="AN20" i="2"/>
  <c r="AM20" i="2"/>
  <c r="AL20" i="2"/>
  <c r="AO20" i="2" s="1"/>
  <c r="AO19" i="2"/>
  <c r="AN19" i="2"/>
  <c r="AM19" i="2"/>
  <c r="AL19" i="2"/>
  <c r="AN18" i="2"/>
  <c r="AM18" i="2"/>
  <c r="AL18" i="2"/>
  <c r="AO18" i="2" s="1"/>
  <c r="AN17" i="2"/>
  <c r="AM17" i="2"/>
  <c r="AL17" i="2"/>
  <c r="AO17" i="2" s="1"/>
  <c r="AN16" i="2"/>
  <c r="AM16" i="2"/>
  <c r="AL16" i="2"/>
  <c r="AO16" i="2" s="1"/>
  <c r="AN15" i="2"/>
  <c r="AM15" i="2"/>
  <c r="AL15" i="2"/>
  <c r="AO15" i="2" s="1"/>
  <c r="AN14" i="2"/>
  <c r="AM14" i="2"/>
  <c r="AO14" i="2" s="1"/>
  <c r="AL14" i="2"/>
  <c r="AN13" i="2"/>
  <c r="AM13" i="2"/>
  <c r="AO13" i="2" s="1"/>
  <c r="AL13" i="2"/>
  <c r="AN12" i="2"/>
  <c r="AM12" i="2"/>
  <c r="AL12" i="2"/>
  <c r="AO12" i="2" s="1"/>
  <c r="AO11" i="2"/>
  <c r="AN11" i="2"/>
  <c r="AM11" i="2"/>
  <c r="AL11" i="2"/>
  <c r="AN10" i="2"/>
  <c r="AM10" i="2"/>
  <c r="AL10" i="2"/>
  <c r="AO10" i="2" s="1"/>
  <c r="AN9" i="2"/>
  <c r="AM9" i="2"/>
  <c r="AL9" i="2"/>
  <c r="AO9" i="2" s="1"/>
  <c r="AN8" i="2"/>
  <c r="AM8" i="2"/>
  <c r="AL8" i="2"/>
  <c r="AO8" i="2" s="1"/>
  <c r="AN7" i="2"/>
  <c r="AM7" i="2"/>
  <c r="AL7" i="2"/>
  <c r="AO7" i="2" s="1"/>
  <c r="C4" i="2"/>
  <c r="C3" i="2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AN46" i="1"/>
  <c r="AM46" i="1"/>
  <c r="AL46" i="1"/>
  <c r="AO46" i="1" s="1"/>
  <c r="AO45" i="1"/>
  <c r="AN45" i="1"/>
  <c r="AM45" i="1"/>
  <c r="AL45" i="1"/>
  <c r="AN44" i="1"/>
  <c r="AM44" i="1"/>
  <c r="AL44" i="1"/>
  <c r="AO44" i="1" s="1"/>
  <c r="AN43" i="1"/>
  <c r="AM43" i="1"/>
  <c r="AL43" i="1"/>
  <c r="AO43" i="1" s="1"/>
  <c r="AN42" i="1"/>
  <c r="AM42" i="1"/>
  <c r="AL42" i="1"/>
  <c r="AO42" i="1" s="1"/>
  <c r="AN41" i="1"/>
  <c r="AM41" i="1"/>
  <c r="AL41" i="1"/>
  <c r="AO41" i="1" s="1"/>
  <c r="AN40" i="1"/>
  <c r="AM40" i="1"/>
  <c r="AO40" i="1" s="1"/>
  <c r="AL40" i="1"/>
  <c r="AN39" i="1"/>
  <c r="AM39" i="1"/>
  <c r="AO39" i="1" s="1"/>
  <c r="AL39" i="1"/>
  <c r="AN38" i="1"/>
  <c r="AM38" i="1"/>
  <c r="AL38" i="1"/>
  <c r="AO38" i="1" s="1"/>
  <c r="AO37" i="1"/>
  <c r="AN37" i="1"/>
  <c r="AM37" i="1"/>
  <c r="AL37" i="1"/>
  <c r="AN36" i="1"/>
  <c r="AM36" i="1"/>
  <c r="AL36" i="1"/>
  <c r="AO36" i="1" s="1"/>
  <c r="AN35" i="1"/>
  <c r="AM35" i="1"/>
  <c r="AL35" i="1"/>
  <c r="AO35" i="1" s="1"/>
  <c r="AN34" i="1"/>
  <c r="AM34" i="1"/>
  <c r="AL34" i="1"/>
  <c r="AO34" i="1" s="1"/>
  <c r="AN33" i="1"/>
  <c r="AM33" i="1"/>
  <c r="AL33" i="1"/>
  <c r="AO33" i="1" s="1"/>
  <c r="AO32" i="1"/>
  <c r="AN32" i="1"/>
  <c r="AM32" i="1"/>
  <c r="AL32" i="1"/>
  <c r="AN31" i="1"/>
  <c r="AM31" i="1"/>
  <c r="AO31" i="1" s="1"/>
  <c r="AL31" i="1"/>
  <c r="AN30" i="1"/>
  <c r="AM30" i="1"/>
  <c r="AL30" i="1"/>
  <c r="AO30" i="1" s="1"/>
  <c r="AO29" i="1"/>
  <c r="AN29" i="1"/>
  <c r="AM29" i="1"/>
  <c r="AL29" i="1"/>
  <c r="AN28" i="1"/>
  <c r="AM28" i="1"/>
  <c r="AL28" i="1"/>
  <c r="AO28" i="1" s="1"/>
  <c r="AN27" i="1"/>
  <c r="AM27" i="1"/>
  <c r="AL27" i="1"/>
  <c r="AO27" i="1" s="1"/>
  <c r="AN26" i="1"/>
  <c r="AM26" i="1"/>
  <c r="AL26" i="1"/>
  <c r="AO26" i="1" s="1"/>
  <c r="AN25" i="1"/>
  <c r="AM25" i="1"/>
  <c r="AL25" i="1"/>
  <c r="AO25" i="1" s="1"/>
  <c r="AN24" i="1"/>
  <c r="AM24" i="1"/>
  <c r="AO24" i="1" s="1"/>
  <c r="AL24" i="1"/>
  <c r="AN23" i="1"/>
  <c r="AM23" i="1"/>
  <c r="AO23" i="1" s="1"/>
  <c r="AL23" i="1"/>
  <c r="AN22" i="1"/>
  <c r="AM22" i="1"/>
  <c r="AL22" i="1"/>
  <c r="AO22" i="1" s="1"/>
  <c r="AO21" i="1"/>
  <c r="AN21" i="1"/>
  <c r="AM21" i="1"/>
  <c r="AL21" i="1"/>
  <c r="AN20" i="1"/>
  <c r="AM20" i="1"/>
  <c r="AL20" i="1"/>
  <c r="AO20" i="1" s="1"/>
  <c r="AN19" i="1"/>
  <c r="AM19" i="1"/>
  <c r="AL19" i="1"/>
  <c r="AO19" i="1" s="1"/>
  <c r="AN18" i="1"/>
  <c r="AM18" i="1"/>
  <c r="AL18" i="1"/>
  <c r="AO18" i="1" s="1"/>
  <c r="AN17" i="1"/>
  <c r="AM17" i="1"/>
  <c r="AL17" i="1"/>
  <c r="AO17" i="1" s="1"/>
  <c r="AN16" i="1"/>
  <c r="AM16" i="1"/>
  <c r="AO16" i="1" s="1"/>
  <c r="AL16" i="1"/>
  <c r="AN15" i="1"/>
  <c r="AM15" i="1"/>
  <c r="AO15" i="1" s="1"/>
  <c r="AL15" i="1"/>
  <c r="AN14" i="1"/>
  <c r="AM14" i="1"/>
  <c r="AL14" i="1"/>
  <c r="AO14" i="1" s="1"/>
  <c r="AO13" i="1"/>
  <c r="AN13" i="1"/>
  <c r="AM13" i="1"/>
  <c r="AL13" i="1"/>
  <c r="AN12" i="1"/>
  <c r="AM12" i="1"/>
  <c r="AL12" i="1"/>
  <c r="AO12" i="1" s="1"/>
  <c r="AN11" i="1"/>
  <c r="AM11" i="1"/>
  <c r="AL11" i="1"/>
  <c r="AO11" i="1" s="1"/>
  <c r="C11" i="1"/>
  <c r="AN10" i="1"/>
  <c r="AM10" i="1"/>
  <c r="AL10" i="1"/>
  <c r="AO10" i="1" s="1"/>
  <c r="AN9" i="1"/>
  <c r="AM9" i="1"/>
  <c r="AL9" i="1"/>
  <c r="AO9" i="1" s="1"/>
  <c r="AN8" i="1"/>
  <c r="AM8" i="1"/>
  <c r="AL8" i="1"/>
  <c r="AO8" i="1" s="1"/>
  <c r="C8" i="1"/>
  <c r="B8" i="1"/>
  <c r="AN7" i="1"/>
  <c r="AM7" i="1"/>
  <c r="AL7" i="1"/>
  <c r="AO7" i="1" s="1"/>
  <c r="C7" i="1"/>
  <c r="B7" i="1"/>
  <c r="C4" i="1"/>
  <c r="C3" i="1"/>
  <c r="C43" i="1" l="1"/>
  <c r="B12" i="3"/>
  <c r="B44" i="4"/>
  <c r="B36" i="4"/>
  <c r="B28" i="4"/>
  <c r="B20" i="4"/>
  <c r="B12" i="4"/>
  <c r="C41" i="3"/>
  <c r="C33" i="3"/>
  <c r="C25" i="3"/>
  <c r="C17" i="3"/>
  <c r="C9" i="3"/>
  <c r="B41" i="2"/>
  <c r="B33" i="2"/>
  <c r="B25" i="2"/>
  <c r="B17" i="2"/>
  <c r="B9" i="2"/>
  <c r="B43" i="1"/>
  <c r="B35" i="1"/>
  <c r="B27" i="1"/>
  <c r="B19" i="1"/>
  <c r="B11" i="1"/>
  <c r="C46" i="4"/>
  <c r="C38" i="4"/>
  <c r="C30" i="4"/>
  <c r="C22" i="4"/>
  <c r="B46" i="3"/>
  <c r="B38" i="3"/>
  <c r="C43" i="2"/>
  <c r="C35" i="2"/>
  <c r="C27" i="2"/>
  <c r="C37" i="1"/>
  <c r="C29" i="1"/>
  <c r="B46" i="4"/>
  <c r="B45" i="1"/>
  <c r="B21" i="1"/>
  <c r="B13" i="1"/>
  <c r="B40" i="4"/>
  <c r="B32" i="4"/>
  <c r="B24" i="4"/>
  <c r="B16" i="4"/>
  <c r="C29" i="3"/>
  <c r="C21" i="3"/>
  <c r="C13" i="4"/>
  <c r="C42" i="2"/>
  <c r="C26" i="2"/>
  <c r="C18" i="2"/>
  <c r="B45" i="4"/>
  <c r="B37" i="4"/>
  <c r="B29" i="4"/>
  <c r="B21" i="4"/>
  <c r="C34" i="3"/>
  <c r="C18" i="3"/>
  <c r="B10" i="2"/>
  <c r="B12" i="1"/>
  <c r="B34" i="3"/>
  <c r="B10" i="3"/>
  <c r="C25" i="1"/>
  <c r="B42" i="4"/>
  <c r="C23" i="3"/>
  <c r="C41" i="4"/>
  <c r="C33" i="4"/>
  <c r="C25" i="4"/>
  <c r="C17" i="4"/>
  <c r="C9" i="4"/>
  <c r="B41" i="3"/>
  <c r="B33" i="3"/>
  <c r="B25" i="3"/>
  <c r="B17" i="3"/>
  <c r="B9" i="3"/>
  <c r="C46" i="2"/>
  <c r="C38" i="2"/>
  <c r="C30" i="2"/>
  <c r="C22" i="2"/>
  <c r="C14" i="2"/>
  <c r="C40" i="1"/>
  <c r="C32" i="1"/>
  <c r="C24" i="1"/>
  <c r="C16" i="1"/>
  <c r="C19" i="2"/>
  <c r="C45" i="1"/>
  <c r="C21" i="1"/>
  <c r="B38" i="4"/>
  <c r="B30" i="4"/>
  <c r="B22" i="4"/>
  <c r="B43" i="2"/>
  <c r="B35" i="2"/>
  <c r="B27" i="2"/>
  <c r="B11" i="2"/>
  <c r="B37" i="1"/>
  <c r="B29" i="1"/>
  <c r="B8" i="4"/>
  <c r="B13" i="2"/>
  <c r="B31" i="1"/>
  <c r="B15" i="1"/>
  <c r="C44" i="1"/>
  <c r="C28" i="1"/>
  <c r="C12" i="1"/>
  <c r="C42" i="3"/>
  <c r="B36" i="1"/>
  <c r="B20" i="1"/>
  <c r="C42" i="4"/>
  <c r="C18" i="4"/>
  <c r="C39" i="3"/>
  <c r="C31" i="3"/>
  <c r="B15" i="2"/>
  <c r="B7" i="2"/>
  <c r="B17" i="1"/>
  <c r="B41" i="4"/>
  <c r="B33" i="4"/>
  <c r="B25" i="4"/>
  <c r="B17" i="4"/>
  <c r="B9" i="4"/>
  <c r="C46" i="3"/>
  <c r="C38" i="3"/>
  <c r="C30" i="3"/>
  <c r="C22" i="3"/>
  <c r="C14" i="3"/>
  <c r="B46" i="2"/>
  <c r="B38" i="2"/>
  <c r="B30" i="2"/>
  <c r="B22" i="2"/>
  <c r="B14" i="2"/>
  <c r="B40" i="1"/>
  <c r="B32" i="1"/>
  <c r="B24" i="1"/>
  <c r="B16" i="1"/>
  <c r="C14" i="4"/>
  <c r="B30" i="3"/>
  <c r="B22" i="3"/>
  <c r="B14" i="3"/>
  <c r="C11" i="2"/>
  <c r="C13" i="1"/>
  <c r="B14" i="4"/>
  <c r="C43" i="3"/>
  <c r="C35" i="3"/>
  <c r="C27" i="3"/>
  <c r="C19" i="3"/>
  <c r="C11" i="3"/>
  <c r="B19" i="2"/>
  <c r="C45" i="3"/>
  <c r="C37" i="3"/>
  <c r="C13" i="3"/>
  <c r="B45" i="2"/>
  <c r="B37" i="2"/>
  <c r="B23" i="1"/>
  <c r="C45" i="4"/>
  <c r="C37" i="4"/>
  <c r="C21" i="4"/>
  <c r="B29" i="3"/>
  <c r="B21" i="3"/>
  <c r="C10" i="2"/>
  <c r="B26" i="2"/>
  <c r="B18" i="2"/>
  <c r="B44" i="1"/>
  <c r="B42" i="3"/>
  <c r="B18" i="3"/>
  <c r="C39" i="2"/>
  <c r="C31" i="2"/>
  <c r="C23" i="2"/>
  <c r="B34" i="4"/>
  <c r="C15" i="3"/>
  <c r="B31" i="2"/>
  <c r="B23" i="2"/>
  <c r="B25" i="1"/>
  <c r="C43" i="4"/>
  <c r="C35" i="4"/>
  <c r="C27" i="4"/>
  <c r="C19" i="4"/>
  <c r="C11" i="4"/>
  <c r="B43" i="3"/>
  <c r="B35" i="3"/>
  <c r="B27" i="3"/>
  <c r="B19" i="3"/>
  <c r="B11" i="3"/>
  <c r="C40" i="2"/>
  <c r="C32" i="2"/>
  <c r="C24" i="2"/>
  <c r="C16" i="2"/>
  <c r="C8" i="2"/>
  <c r="C42" i="1"/>
  <c r="C34" i="1"/>
  <c r="C26" i="1"/>
  <c r="C18" i="1"/>
  <c r="B21" i="2"/>
  <c r="C29" i="4"/>
  <c r="C34" i="2"/>
  <c r="C36" i="1"/>
  <c r="C9" i="1"/>
  <c r="B13" i="4"/>
  <c r="C26" i="3"/>
  <c r="B34" i="2"/>
  <c r="B28" i="1"/>
  <c r="C15" i="2"/>
  <c r="C17" i="1"/>
  <c r="B26" i="4"/>
  <c r="B41" i="1"/>
  <c r="B43" i="4"/>
  <c r="B35" i="4"/>
  <c r="B27" i="4"/>
  <c r="B19" i="4"/>
  <c r="B11" i="4"/>
  <c r="C40" i="3"/>
  <c r="C32" i="3"/>
  <c r="C24" i="3"/>
  <c r="C16" i="3"/>
  <c r="C8" i="3"/>
  <c r="B40" i="2"/>
  <c r="B32" i="2"/>
  <c r="B24" i="2"/>
  <c r="B16" i="2"/>
  <c r="B8" i="2"/>
  <c r="B42" i="1"/>
  <c r="B34" i="1"/>
  <c r="B26" i="1"/>
  <c r="B18" i="1"/>
  <c r="C40" i="4"/>
  <c r="C32" i="4"/>
  <c r="C24" i="4"/>
  <c r="C16" i="4"/>
  <c r="C8" i="4"/>
  <c r="B40" i="3"/>
  <c r="B32" i="3"/>
  <c r="B24" i="3"/>
  <c r="B16" i="3"/>
  <c r="B8" i="3"/>
  <c r="C45" i="2"/>
  <c r="C37" i="2"/>
  <c r="C29" i="2"/>
  <c r="C21" i="2"/>
  <c r="C13" i="2"/>
  <c r="C39" i="1"/>
  <c r="C31" i="1"/>
  <c r="C23" i="1"/>
  <c r="C15" i="1"/>
  <c r="B29" i="2"/>
  <c r="B39" i="1"/>
  <c r="B45" i="3"/>
  <c r="B37" i="3"/>
  <c r="B13" i="3"/>
  <c r="C20" i="1"/>
  <c r="C10" i="3"/>
  <c r="B42" i="2"/>
  <c r="B9" i="1"/>
  <c r="C34" i="4"/>
  <c r="C10" i="4"/>
  <c r="B26" i="3"/>
  <c r="C7" i="2"/>
  <c r="C41" i="1"/>
  <c r="C33" i="1"/>
  <c r="B18" i="4"/>
  <c r="B10" i="4"/>
  <c r="C7" i="3"/>
  <c r="B39" i="2"/>
  <c r="B33" i="1"/>
  <c r="C26" i="4"/>
  <c r="B39" i="3"/>
  <c r="B44" i="3"/>
  <c r="B30" i="1"/>
  <c r="B44" i="2"/>
  <c r="C44" i="3"/>
  <c r="C39" i="4"/>
  <c r="C30" i="1"/>
  <c r="C9" i="2"/>
  <c r="C44" i="2"/>
  <c r="AO44" i="3"/>
  <c r="C44" i="4"/>
  <c r="B36" i="3"/>
  <c r="B31" i="4"/>
  <c r="C36" i="4"/>
  <c r="C27" i="1"/>
  <c r="C41" i="2"/>
  <c r="B23" i="3"/>
  <c r="B28" i="3"/>
  <c r="B23" i="4"/>
  <c r="AO36" i="4"/>
  <c r="B31" i="3"/>
  <c r="C25" i="2"/>
  <c r="B12" i="2"/>
  <c r="B14" i="1"/>
  <c r="C28" i="4"/>
  <c r="C12" i="3"/>
  <c r="C12" i="2"/>
  <c r="C17" i="2"/>
  <c r="C35" i="1"/>
  <c r="C36" i="2"/>
  <c r="B28" i="2"/>
  <c r="C28" i="3"/>
  <c r="C23" i="4"/>
  <c r="C14" i="1"/>
  <c r="C28" i="2"/>
  <c r="C19" i="1"/>
  <c r="C33" i="2"/>
  <c r="B15" i="3"/>
  <c r="B20" i="3"/>
  <c r="B15" i="4"/>
  <c r="B38" i="1"/>
  <c r="B22" i="1"/>
  <c r="B36" i="2"/>
  <c r="C36" i="3"/>
  <c r="B20" i="2"/>
  <c r="C20" i="3"/>
  <c r="AO33" i="3"/>
  <c r="C15" i="4"/>
  <c r="C46" i="1"/>
  <c r="B7" i="3"/>
  <c r="C7" i="4"/>
  <c r="C12" i="4"/>
  <c r="C38" i="1"/>
  <c r="C31" i="4"/>
  <c r="C22" i="1"/>
  <c r="B46" i="1"/>
  <c r="C20" i="2"/>
  <c r="C20" i="4"/>
</calcChain>
</file>

<file path=xl/sharedStrings.xml><?xml version="1.0" encoding="utf-8"?>
<sst xmlns="http://schemas.openxmlformats.org/spreadsheetml/2006/main" count="670" uniqueCount="192">
  <si>
    <t xml:space="preserve">               TK SWASTA METHODIST-11</t>
  </si>
  <si>
    <t>S</t>
  </si>
  <si>
    <t xml:space="preserve">               DAFTAR NAMA MURID T.P. 2025/2026</t>
  </si>
  <si>
    <t>I</t>
  </si>
  <si>
    <t>PG</t>
  </si>
  <si>
    <t>Kelas</t>
  </si>
  <si>
    <t>Walikelas</t>
  </si>
  <si>
    <t>Nomor</t>
  </si>
  <si>
    <t>Nama</t>
  </si>
  <si>
    <t>April</t>
  </si>
  <si>
    <t>Urt</t>
  </si>
  <si>
    <t>Induk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</si>
  <si>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</si>
  <si>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</si>
  <si>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</si>
  <si>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</si>
  <si>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</si>
  <si>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</si>
  <si>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</si>
  <si>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</si>
  <si>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</si>
  <si>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</si>
  <si>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</si>
  <si>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</si>
  <si>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</si>
  <si>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</si>
  <si>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</si>
  <si>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</si>
  <si>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</si>
  <si>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</si>
  <si>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</si>
  <si>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</si>
  <si>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</si>
  <si>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</si>
  <si>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</si>
  <si>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</si>
  <si>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</si>
  <si>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</si>
  <si>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</si>
  <si>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</si>
  <si>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</si>
  <si>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</si>
  <si>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</si>
  <si>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A</t>
  </si>
  <si>
    <t>Total</t>
  </si>
  <si>
    <t>.</t>
  </si>
  <si>
    <t>TKA</t>
  </si>
  <si>
    <t>M</t>
  </si>
  <si>
    <t>TKB1</t>
  </si>
  <si>
    <t>TKB2</t>
  </si>
  <si>
    <t>Januari</t>
  </si>
  <si>
    <t>Februari</t>
  </si>
  <si>
    <t>0221</t>
  </si>
  <si>
    <t>Edbert Reynaldo Lim</t>
  </si>
  <si>
    <t>Lina</t>
  </si>
  <si>
    <t>Maret</t>
  </si>
  <si>
    <t>0228</t>
  </si>
  <si>
    <t>Axelle Tiandra Ong</t>
  </si>
  <si>
    <t>?</t>
  </si>
  <si>
    <t>0229</t>
  </si>
  <si>
    <t>Carencya Chailinskie</t>
  </si>
  <si>
    <t>Mei</t>
  </si>
  <si>
    <t>0230</t>
  </si>
  <si>
    <t>Elvano Leonardi</t>
  </si>
  <si>
    <t>Juni</t>
  </si>
  <si>
    <t>0231</t>
  </si>
  <si>
    <t xml:space="preserve">Evano Ryu Tanzil </t>
  </si>
  <si>
    <t>Juli</t>
  </si>
  <si>
    <t>0232</t>
  </si>
  <si>
    <t>Gareth Grealish Dharmawan</t>
  </si>
  <si>
    <t>Agustus</t>
  </si>
  <si>
    <t>0233</t>
  </si>
  <si>
    <t>Joverick Walton</t>
  </si>
  <si>
    <t>September</t>
  </si>
  <si>
    <t>0234</t>
  </si>
  <si>
    <t>Kaylyn Gavril Winlie</t>
  </si>
  <si>
    <t>Oktober</t>
  </si>
  <si>
    <t>0235</t>
  </si>
  <si>
    <t>Rachel Crystaline Benyamin</t>
  </si>
  <si>
    <t>November</t>
  </si>
  <si>
    <t>0236</t>
  </si>
  <si>
    <t>Rachel Veisya Chan</t>
  </si>
  <si>
    <t>Desember</t>
  </si>
  <si>
    <t>0237</t>
  </si>
  <si>
    <t>Rachellyn Gracia Chindra</t>
  </si>
  <si>
    <t>Roderick Yang</t>
  </si>
  <si>
    <t>Aldrich Bona Munson Nababan</t>
  </si>
  <si>
    <t>Elizabet, S.Pd.</t>
  </si>
  <si>
    <t>Azka Andreas</t>
  </si>
  <si>
    <t>Celine Grace Zhang</t>
  </si>
  <si>
    <t>Clarence Queenicca Zhang</t>
  </si>
  <si>
    <t>Clarissa Jovanka Sugiharto</t>
  </si>
  <si>
    <t>Clarissa Lim</t>
  </si>
  <si>
    <t>Clarita Olivia Sinaga</t>
  </si>
  <si>
    <t>Coryn Aurora Zhan</t>
  </si>
  <si>
    <t>Darren Elvano</t>
  </si>
  <si>
    <t>Darren Tristan</t>
  </si>
  <si>
    <t>Davian Kenrick Lu</t>
  </si>
  <si>
    <t>Devan Ivander Siahaan</t>
  </si>
  <si>
    <t>Elsa Harianja</t>
  </si>
  <si>
    <t>Ferencia Lu</t>
  </si>
  <si>
    <t>Jemia Zhevano Yamresa Kembaren</t>
  </si>
  <si>
    <t>Jocelyn Marcella Su</t>
  </si>
  <si>
    <t>Joevanca Chesa Athalia</t>
  </si>
  <si>
    <t>Kayla Hosanna Charissa Sihombing</t>
  </si>
  <si>
    <t>Keilyn Queensha Ong</t>
  </si>
  <si>
    <t>Keyla Toshiro</t>
  </si>
  <si>
    <t>Liora Eliana Panjaitan</t>
  </si>
  <si>
    <t>Lishaalini Krisna Naidu</t>
  </si>
  <si>
    <t>Melviano Arentino Wijaya</t>
  </si>
  <si>
    <t>Queenly Nathaniela</t>
  </si>
  <si>
    <t>Richelcia Wijaya</t>
  </si>
  <si>
    <t>Ricson Valenthino</t>
  </si>
  <si>
    <t>Rui Reynara Shen</t>
  </si>
  <si>
    <t>Shane Michael Lienardie</t>
  </si>
  <si>
    <t>Shelomitha Eliora Simanjuntak</t>
  </si>
  <si>
    <t>Willian Geoffrey Utama</t>
  </si>
  <si>
    <t>Kyla Nathania Chang</t>
  </si>
  <si>
    <t>Juliana Krisnawati Saragih, S.Si.</t>
  </si>
  <si>
    <t>Muhammad Raffasya Aditya</t>
  </si>
  <si>
    <t>Valerie Tohvinsky</t>
  </si>
  <si>
    <t>Vincent Andreanus</t>
  </si>
  <si>
    <t>Edmond Axelle Chan</t>
  </si>
  <si>
    <t>Raileen Valerie Hugo</t>
  </si>
  <si>
    <t>Abraham Katikana Ginting</t>
  </si>
  <si>
    <t>Adelia Manuella Br. Butar-butar</t>
  </si>
  <si>
    <t>Arnold Johannes Lutan</t>
  </si>
  <si>
    <t>Bhaskara Salomo Siregar</t>
  </si>
  <si>
    <t>Darren Almero Chen</t>
  </si>
  <si>
    <t>Darren Hasiholan Nahulae</t>
  </si>
  <si>
    <t>Effendi</t>
  </si>
  <si>
    <t>Geonathan Samudra Simamora</t>
  </si>
  <si>
    <t>Gestalt Jesen Edellio Manurung</t>
  </si>
  <si>
    <t>Grace Felicia Simbolon</t>
  </si>
  <si>
    <t>Janeeta Elora Silaban</t>
  </si>
  <si>
    <t>Jayden Febrian Chai</t>
  </si>
  <si>
    <t>Jocelin Samosir</t>
  </si>
  <si>
    <t>Kartika Joceline Simanjuntak</t>
  </si>
  <si>
    <t>Larasaty Pramidita Sihite</t>
  </si>
  <si>
    <t>Michelle Angela Tan</t>
  </si>
  <si>
    <t>Mikhael Glorius Simbolon</t>
  </si>
  <si>
    <t>Naraya Elsandri Br. Sembiring</t>
  </si>
  <si>
    <t>Reinier Jackson Yaputra</t>
  </si>
  <si>
    <t>Rweno Richie</t>
  </si>
  <si>
    <t>Sagiv Levinskie Nainggolan</t>
  </si>
  <si>
    <t>Sean Milan Saragih</t>
  </si>
  <si>
    <t>Sheera Leticia Nainggolan</t>
  </si>
  <si>
    <t>Sheryn Florencia Nainggolan</t>
  </si>
  <si>
    <t>Trini Arindy Br. Pasaribu</t>
  </si>
  <si>
    <t>Valencia Tjuatja</t>
  </si>
  <si>
    <t>Vallerie Laurist</t>
  </si>
  <si>
    <t>Vionetta Brylie Siregar</t>
  </si>
  <si>
    <t>Wilson Nicholas Lim</t>
  </si>
  <si>
    <t>Gabe Cristiano Gultom</t>
  </si>
  <si>
    <t>helena</t>
  </si>
  <si>
    <t>Chelsea Valerie</t>
  </si>
  <si>
    <t>Wati, S.E.</t>
  </si>
  <si>
    <t>Adrellia Tessya Samantha Sianturi</t>
  </si>
  <si>
    <t>Arfan Ginting</t>
  </si>
  <si>
    <t>Brienne Nathania Carolyne Pakpahan</t>
  </si>
  <si>
    <t>Chester Tankino</t>
  </si>
  <si>
    <t>Cristine Dharani</t>
  </si>
  <si>
    <t>Gavinta Elon Siregar</t>
  </si>
  <si>
    <t>Gavrila Maranatha Maris Panjaitan</t>
  </si>
  <si>
    <t>Given Ryshaka Simbolon</t>
  </si>
  <si>
    <t>Joachim Yang</t>
  </si>
  <si>
    <t>Michelle Kimberly Gui</t>
  </si>
  <si>
    <t>Pangeran Hagro Haloho</t>
  </si>
  <si>
    <t>Pedro Karvinta Sembiring</t>
  </si>
  <si>
    <t>Richa Dwily</t>
  </si>
  <si>
    <t>Robyn Imanuel Louis</t>
  </si>
  <si>
    <t>Shayna Amoureyza Sitepu</t>
  </si>
  <si>
    <t>Stevia Chrisela Chai</t>
  </si>
  <si>
    <t>Theo Rafa Pakpahan</t>
  </si>
  <si>
    <t>Vinnie Gea Halim</t>
  </si>
  <si>
    <t>Abercio Kiano Drake</t>
  </si>
  <si>
    <t>Aleysia Callista Br Ompusunggu</t>
  </si>
  <si>
    <t>Alvaro Gavriel Karo Karo</t>
  </si>
  <si>
    <t>Bryan Maxwell Angkasa</t>
  </si>
  <si>
    <t>Christine Laotan</t>
  </si>
  <si>
    <t>Claudia Zetta Br Tarigan</t>
  </si>
  <si>
    <t>Daven Gavriel Winlie</t>
  </si>
  <si>
    <t>Felix Louis</t>
  </si>
  <si>
    <t>Glerine Richya Tumanggor</t>
  </si>
  <si>
    <t>Grace Nataly</t>
  </si>
  <si>
    <t>Greysia Dhita Panggabean</t>
  </si>
  <si>
    <t>Jasmine Valerie Yap</t>
  </si>
  <si>
    <t>Kenstein Elton Lim</t>
  </si>
  <si>
    <t>Kenzo Kiano</t>
  </si>
  <si>
    <t>Marquez Boas Aritonang</t>
  </si>
  <si>
    <t>Peter Djuandi</t>
  </si>
  <si>
    <t>Hiromi Sheena Silalahi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</si>
</sst>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b/>
      <sz val="16"/>
      <color theme="1"/>
      <name val="Tahoma"/>
      <family val="2"/>
    </font>
    <font>
      <sz val="11"/>
      <color theme="1"/>
      <name val="Tahoma"/>
      <family val="2"/>
    </font>
    <font>
      <sz val="11"/>
      <color rgb="FF000000"/>
      <name val="Tahoma"/>
      <family val="2"/>
    </font>
    <font>
      <b/>
      <sz val="14"/>
      <color theme="1"/>
      <name val="Tahoma"/>
      <family val="2"/>
    </font>
    <font>
      <sz val="11"/>
      <color theme="1"/>
      <name val="Calibri"/>
      <family val="2"/>
    </font>
    <font>
      <b/>
      <sz val="11"/>
      <color theme="1"/>
      <name val="Tahoma"/>
      <family val="2"/>
    </font>
    <font>
      <b/>
      <i/>
      <sz val="11"/>
      <color theme="1"/>
      <name val="Tahoma"/>
      <family val="2"/>
    </font>
    <font>
      <sz val="9"/>
      <color theme="1"/>
      <name val="Tahoma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2" borderId="4" xfId="0" applyFont="1" applyFill="1" applyBorder="1" applyAlignment="1">
      <alignment horizontal="center" vertical="center"/>
    </xf>
    <xf numFmtId="49" fontId="8" fillId="2" borderId="4" xfId="0" applyNumberFormat="1" applyFont="1" applyFill="1" applyBorder="1" applyAlignment="1">
      <alignment horizontal="center" vertical="center"/>
    </xf>
    <xf numFmtId="0" fontId="5" fillId="0" borderId="4" xfId="0" applyFont="1" applyBorder="1"/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0" fontId="9" fillId="0" borderId="4" xfId="0" applyFont="1" applyBorder="1" applyAlignment="1">
      <alignment vertical="center" shrinkToFit="1"/>
    </xf>
    <xf numFmtId="0" fontId="6" fillId="3" borderId="4" xfId="0" applyFont="1" applyFill="1" applyBorder="1" applyAlignment="1">
      <alignment vertical="center"/>
    </xf>
    <xf numFmtId="0" fontId="9" fillId="3" borderId="4" xfId="0" applyFont="1" applyFill="1" applyBorder="1" applyAlignment="1">
      <alignment vertical="center" shrinkToFit="1"/>
    </xf>
    <xf numFmtId="0" fontId="5" fillId="3" borderId="4" xfId="0" applyFont="1" applyFill="1" applyBorder="1"/>
    <xf numFmtId="0" fontId="10" fillId="0" borderId="0" xfId="0" applyFont="1" applyAlignment="1">
      <alignment horizontal="right"/>
    </xf>
    <xf numFmtId="0" fontId="2" fillId="0" borderId="4" xfId="0" quotePrefix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shrinkToFit="1"/>
    </xf>
    <xf numFmtId="0" fontId="2" fillId="4" borderId="4" xfId="0" applyFont="1" applyFill="1" applyBorder="1" applyAlignment="1">
      <alignment vertical="center" shrinkToFit="1"/>
    </xf>
    <xf numFmtId="0" fontId="2" fillId="4" borderId="4" xfId="0" applyFont="1" applyFill="1" applyBorder="1" applyAlignment="1">
      <alignment horizontal="left" vertical="center" shrinkToFit="1"/>
    </xf>
    <xf numFmtId="0" fontId="2" fillId="0" borderId="4" xfId="0" applyFont="1" applyBorder="1" applyAlignment="1">
      <alignment vertical="center" shrinkToFit="1"/>
    </xf>
    <xf numFmtId="0" fontId="2" fillId="4" borderId="4" xfId="0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0" borderId="4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6" xfId="0" applyFont="1" applyBorder="1" applyAlignment="1">
      <alignment horizontal="left" vertical="center"/>
    </xf>
    <xf numFmtId="0" fontId="5" fillId="6" borderId="4" xfId="0" applyFont="1" applyFill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4" fillId="0" borderId="0" xfId="0" applyFont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0" fillId="0" borderId="3" xfId="0" applyBorder="1"/>
    <xf numFmtId="0" fontId="0" fillId="0" borderId="2" xfId="0" applyBorder="1"/>
    <xf numFmtId="0" fontId="6" fillId="2" borderId="7" xfId="0" applyFont="1" applyFill="1" applyBorder="1" applyAlignment="1">
      <alignment horizontal="center" vertical="center"/>
    </xf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998"/>
  <sheetViews>
    <sheetView workbookViewId="0">
      <selection sqref="A1:P1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16" width="5" hidden="1" customWidth="1"/>
    <col min="17" max="34" width="5" customWidth="1"/>
    <col min="35" max="37" width="8.7265625" hidden="1" customWidth="1"/>
    <col min="38" max="41" width="5.54296875" customWidth="1"/>
  </cols>
  <sheetData>
    <row r="1" spans="1:41" ht="14.25" customHeight="1" x14ac:dyDescent="0.35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1"/>
      <c r="R1" s="1"/>
      <c r="S1" s="1" t="s">
        <v>1</v>
      </c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6" t="s">
        <v>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1"/>
      <c r="R2" s="1"/>
      <c r="S2" s="1"/>
      <c r="T2" s="1" t="s">
        <v>3</v>
      </c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 t="s">
        <v>4</v>
      </c>
    </row>
    <row r="3" spans="1:41" ht="14.25" customHeight="1" x14ac:dyDescent="0.35">
      <c r="A3" s="4" t="s">
        <v>5</v>
      </c>
      <c r="B3" s="4"/>
      <c r="C3" s="4" t="str">
        <f>" : " &amp; IF(AJ2="","",AJ2)</f>
        <v xml:space="preserve"> : PG</v>
      </c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6</v>
      </c>
      <c r="B4" s="4"/>
      <c r="C4" s="4" t="str">
        <f>IFERROR(" :  " &amp;VLOOKUP($A$7&amp;$AJ$2,#REF!,6,FALSE), "")</f>
        <v/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7" t="s">
        <v>7</v>
      </c>
      <c r="B5" s="39"/>
      <c r="C5" s="40" t="s">
        <v>8</v>
      </c>
      <c r="D5" s="37" t="s">
        <v>9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9"/>
    </row>
    <row r="6" spans="1:41" ht="14.25" customHeight="1" x14ac:dyDescent="0.35">
      <c r="A6" s="6" t="s">
        <v>10</v>
      </c>
      <c r="B6" s="6" t="s">
        <v>11</v>
      </c>
      <c r="C6" s="41"/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7" t="s">
        <v>19</v>
      </c>
      <c r="L6" s="7" t="s">
        <v>20</v>
      </c>
      <c r="M6" s="7" t="s">
        <v>21</v>
      </c>
      <c r="N6" s="7" t="s">
        <v>22</v>
      </c>
      <c r="O6" s="7" t="s">
        <v>23</v>
      </c>
      <c r="P6" s="7" t="s">
        <v>24</v>
      </c>
      <c r="Q6" s="7" t="s">
        <v>25</v>
      </c>
      <c r="R6" s="7" t="s">
        <v>26</v>
      </c>
      <c r="S6" s="7" t="s">
        <v>27</v>
      </c>
      <c r="T6" s="7" t="s">
        <v>28</v>
      </c>
      <c r="U6" s="7" t="s">
        <v>29</v>
      </c>
      <c r="V6" s="7" t="s">
        <v>30</v>
      </c>
      <c r="W6" s="7" t="s">
        <v>31</v>
      </c>
      <c r="X6" s="7" t="s">
        <v>32</v>
      </c>
      <c r="Y6" s="7" t="s">
        <v>33</v>
      </c>
      <c r="Z6" s="7" t="s">
        <v>34</v>
      </c>
      <c r="AA6" s="7" t="s">
        <v>35</v>
      </c>
      <c r="AB6" s="7" t="s">
        <v>36</v>
      </c>
      <c r="AC6" s="7" t="s">
        <v>37</v>
      </c>
      <c r="AD6" s="7" t="s">
        <v>38</v>
      </c>
      <c r="AE6" s="7" t="s">
        <v>39</v>
      </c>
      <c r="AF6" s="7" t="s">
        <v>40</v>
      </c>
      <c r="AG6" s="7" t="s">
        <v>41</v>
      </c>
      <c r="AH6" s="7" t="s">
        <v>42</v>
      </c>
      <c r="AL6" s="8" t="s">
        <v>1</v>
      </c>
      <c r="AM6" s="8" t="s">
        <v>3</v>
      </c>
      <c r="AN6" s="8" t="s">
        <v>43</v>
      </c>
      <c r="AO6" s="8" t="s">
        <v>44</v>
      </c>
    </row>
    <row r="7" spans="1:41" ht="12" customHeight="1" x14ac:dyDescent="0.35">
      <c r="A7" s="9">
        <v>1</v>
      </c>
      <c r="B7" s="10" t="str">
        <f>IFERROR(VLOOKUP(A7&amp;$AJ$2,Data!$A$2:$AM$131,3,FALSE), "")</f>
        <v>0221</v>
      </c>
      <c r="C7" s="11" t="str">
        <f>IFERROR(VLOOKUP(A7&amp;$AJ$2,Data!$A$2:$AM$131,4,FALSE), "")</f>
        <v>Edbert Reynaldo Lim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 t="s">
        <v>1</v>
      </c>
      <c r="AL7" s="8">
        <f t="shared" ref="AL7:AL46" si="0">COUNTIF(D7:AH7,"S")</f>
        <v>0</v>
      </c>
      <c r="AM7" s="8">
        <f t="shared" ref="AM7:AM46" si="1">COUNTIF(D7:AH7,"I")</f>
        <v>0</v>
      </c>
      <c r="AN7" s="8">
        <f t="shared" ref="AN7:AN46" si="2">COUNTIF(D7:AH7,"A")</f>
        <v>0</v>
      </c>
      <c r="AO7" s="8">
        <f t="shared" ref="AO7:AO46" si="3">SUM(AL7:AN7)</f>
        <v>0</v>
      </c>
    </row>
    <row r="8" spans="1:41" ht="12" customHeight="1" x14ac:dyDescent="0.35">
      <c r="A8" s="9">
        <v>2</v>
      </c>
      <c r="B8" s="10" t="str">
        <f>IFERROR(VLOOKUP(A8&amp;$AJ$2,Data!$A$2:$AM$131,3,FALSE), "")</f>
        <v>0228</v>
      </c>
      <c r="C8" s="11" t="str">
        <f>IFERROR(VLOOKUP(A8&amp;$AJ$2,Data!$A$2:$AM$131,4,FALSE), "")</f>
        <v>Axelle Tiandra Ong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 t="s">
        <v>3</v>
      </c>
      <c r="AL8" s="8">
        <f t="shared" si="0"/>
        <v>0</v>
      </c>
      <c r="AM8" s="8">
        <f t="shared" si="1"/>
        <v>0</v>
      </c>
      <c r="AN8" s="8">
        <f t="shared" si="2"/>
        <v>0</v>
      </c>
      <c r="AO8" s="8">
        <f t="shared" si="3"/>
        <v>0</v>
      </c>
    </row>
    <row r="9" spans="1:41" ht="12" customHeight="1" x14ac:dyDescent="0.35">
      <c r="A9" s="9">
        <v>3</v>
      </c>
      <c r="B9" s="10" t="str">
        <f>IFERROR(VLOOKUP(A9&amp;$AJ$2,Data!$A$2:$AM$131,3,FALSE), "")</f>
        <v>0229</v>
      </c>
      <c r="C9" s="11" t="str">
        <f>IFERROR(VLOOKUP(A9&amp;$AJ$2,Data!$A$2:$AM$131,4,FALSE), "")</f>
        <v>Carencya Chailinskie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 t="s">
        <v>43</v>
      </c>
      <c r="AL9" s="8">
        <f t="shared" si="0"/>
        <v>0</v>
      </c>
      <c r="AM9" s="8">
        <f t="shared" si="1"/>
        <v>0</v>
      </c>
      <c r="AN9" s="8">
        <f t="shared" si="2"/>
        <v>0</v>
      </c>
      <c r="AO9" s="8">
        <f t="shared" si="3"/>
        <v>0</v>
      </c>
    </row>
    <row r="10" spans="1:41" ht="12" customHeight="1" x14ac:dyDescent="0.35">
      <c r="A10" s="9">
        <v>4</v>
      </c>
      <c r="B10" s="12"/>
      <c r="C10" s="13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K10" s="3" t="s">
        <v>45</v>
      </c>
      <c r="AL10" s="8">
        <f t="shared" si="0"/>
        <v>0</v>
      </c>
      <c r="AM10" s="8">
        <f t="shared" si="1"/>
        <v>0</v>
      </c>
      <c r="AN10" s="8">
        <f t="shared" si="2"/>
        <v>0</v>
      </c>
      <c r="AO10" s="8">
        <f t="shared" si="3"/>
        <v>0</v>
      </c>
    </row>
    <row r="11" spans="1:41" ht="12" customHeight="1" x14ac:dyDescent="0.35">
      <c r="A11" s="9">
        <v>5</v>
      </c>
      <c r="B11" s="10" t="str">
        <f>IFERROR(VLOOKUP(A11&amp;$AJ$2,Data!$A$2:$AM$131,3,FALSE), "")</f>
        <v>0231</v>
      </c>
      <c r="C11" s="11" t="str">
        <f>IFERROR(VLOOKUP(A11&amp;$AJ$2,Data!$A$2:$AM$131,4,FALSE), "")</f>
        <v xml:space="preserve">Evano Ryu Tanzil 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>
        <f t="shared" si="0"/>
        <v>0</v>
      </c>
      <c r="AM11" s="8">
        <f t="shared" si="1"/>
        <v>0</v>
      </c>
      <c r="AN11" s="8">
        <f t="shared" si="2"/>
        <v>0</v>
      </c>
      <c r="AO11" s="8">
        <f t="shared" si="3"/>
        <v>0</v>
      </c>
    </row>
    <row r="12" spans="1:41" ht="12" customHeight="1" x14ac:dyDescent="0.35">
      <c r="A12" s="9">
        <v>6</v>
      </c>
      <c r="B12" s="10" t="str">
        <f>IFERROR(VLOOKUP(A12&amp;$AJ$2,Data!$A$2:$AM$131,3,FALSE), "")</f>
        <v>0232</v>
      </c>
      <c r="C12" s="11" t="str">
        <f>IFERROR(VLOOKUP(A12&amp;$AJ$2,Data!$A$2:$AM$131,4,FALSE), "")</f>
        <v>Gareth Grealish Dharmawan</v>
      </c>
      <c r="D12" s="8" t="s">
        <v>1</v>
      </c>
      <c r="E12" s="8" t="s">
        <v>1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L12" s="8">
        <f t="shared" si="0"/>
        <v>2</v>
      </c>
      <c r="AM12" s="8">
        <f t="shared" si="1"/>
        <v>0</v>
      </c>
      <c r="AN12" s="8">
        <f t="shared" si="2"/>
        <v>0</v>
      </c>
      <c r="AO12" s="8">
        <f t="shared" si="3"/>
        <v>2</v>
      </c>
    </row>
    <row r="13" spans="1:41" ht="12" customHeight="1" x14ac:dyDescent="0.35">
      <c r="A13" s="9">
        <v>7</v>
      </c>
      <c r="B13" s="10" t="str">
        <f>IFERROR(VLOOKUP(A13&amp;$AJ$2,Data!$A$2:$AM$131,3,FALSE), "")</f>
        <v>0233</v>
      </c>
      <c r="C13" s="11" t="str">
        <f>IFERROR(VLOOKUP(A13&amp;$AJ$2,Data!$A$2:$AM$131,4,FALSE), "")</f>
        <v>Joverick Walton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 t="s">
        <v>1</v>
      </c>
      <c r="Q13" s="8"/>
      <c r="R13" s="8" t="s">
        <v>1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>
        <f t="shared" si="0"/>
        <v>2</v>
      </c>
      <c r="AM13" s="8">
        <f t="shared" si="1"/>
        <v>0</v>
      </c>
      <c r="AN13" s="8">
        <f t="shared" si="2"/>
        <v>0</v>
      </c>
      <c r="AO13" s="8">
        <f t="shared" si="3"/>
        <v>2</v>
      </c>
    </row>
    <row r="14" spans="1:41" ht="12" customHeight="1" x14ac:dyDescent="0.35">
      <c r="A14" s="9">
        <v>8</v>
      </c>
      <c r="B14" s="10" t="str">
        <f>IFERROR(VLOOKUP(A14&amp;$AJ$2,Data!$A$2:$AM$131,3,FALSE), "")</f>
        <v>0234</v>
      </c>
      <c r="C14" s="11" t="str">
        <f>IFERROR(VLOOKUP(A14&amp;$AJ$2,Data!$A$2:$AM$131,4,FALSE), "")</f>
        <v>Kaylyn Gavril Winlie</v>
      </c>
      <c r="D14" s="8" t="s">
        <v>1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L14" s="8">
        <f t="shared" si="0"/>
        <v>1</v>
      </c>
      <c r="AM14" s="8">
        <f t="shared" si="1"/>
        <v>0</v>
      </c>
      <c r="AN14" s="8">
        <f t="shared" si="2"/>
        <v>0</v>
      </c>
      <c r="AO14" s="8">
        <f t="shared" si="3"/>
        <v>1</v>
      </c>
    </row>
    <row r="15" spans="1:41" ht="12" customHeight="1" x14ac:dyDescent="0.35">
      <c r="A15" s="9">
        <v>9</v>
      </c>
      <c r="B15" s="10" t="str">
        <f>IFERROR(VLOOKUP(A15&amp;$AJ$2,Data!$A$2:$AM$131,3,FALSE), "")</f>
        <v>0235</v>
      </c>
      <c r="C15" s="11" t="str">
        <f>IFERROR(VLOOKUP(A15&amp;$AJ$2,Data!$A$2:$AM$131,4,FALSE), "")</f>
        <v>Rachel Crystaline Benyamin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>
        <f t="shared" si="0"/>
        <v>0</v>
      </c>
      <c r="AM15" s="8">
        <f t="shared" si="1"/>
        <v>0</v>
      </c>
      <c r="AN15" s="8">
        <f t="shared" si="2"/>
        <v>0</v>
      </c>
      <c r="AO15" s="8">
        <f t="shared" si="3"/>
        <v>0</v>
      </c>
    </row>
    <row r="16" spans="1:41" ht="12" customHeight="1" x14ac:dyDescent="0.35">
      <c r="A16" s="9">
        <v>10</v>
      </c>
      <c r="B16" s="10" t="str">
        <f>IFERROR(VLOOKUP(A16&amp;$AJ$2,Data!$A$2:$AM$131,3,FALSE), "")</f>
        <v>0236</v>
      </c>
      <c r="C16" s="11" t="str">
        <f>IFERROR(VLOOKUP(A16&amp;$AJ$2,Data!$A$2:$AM$131,4,FALSE), "")</f>
        <v>Rachel Veisya Chan</v>
      </c>
      <c r="D16" s="8"/>
      <c r="E16" s="8"/>
      <c r="F16" s="8"/>
      <c r="G16" s="8"/>
      <c r="H16" s="8"/>
      <c r="I16" s="8"/>
      <c r="J16" s="8"/>
      <c r="K16" s="8" t="s">
        <v>45</v>
      </c>
      <c r="L16" s="8" t="s">
        <v>1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>
        <f t="shared" si="0"/>
        <v>1</v>
      </c>
      <c r="AM16" s="8">
        <f t="shared" si="1"/>
        <v>0</v>
      </c>
      <c r="AN16" s="8">
        <f t="shared" si="2"/>
        <v>0</v>
      </c>
      <c r="AO16" s="8">
        <f t="shared" si="3"/>
        <v>1</v>
      </c>
    </row>
    <row r="17" spans="1:41" ht="12" customHeight="1" x14ac:dyDescent="0.35">
      <c r="A17" s="9">
        <v>11</v>
      </c>
      <c r="B17" s="10" t="str">
        <f>IFERROR(VLOOKUP(A17&amp;$AJ$2,Data!$A$2:$AM$131,3,FALSE), "")</f>
        <v>0237</v>
      </c>
      <c r="C17" s="11" t="str">
        <f>IFERROR(VLOOKUP(A17&amp;$AJ$2,Data!$A$2:$AM$131,4,FALSE), "")</f>
        <v>Rachellyn Gracia Chindra</v>
      </c>
      <c r="D17" s="8"/>
      <c r="E17" s="8"/>
      <c r="F17" s="8"/>
      <c r="G17" s="8"/>
      <c r="H17" s="8"/>
      <c r="I17" s="8" t="s">
        <v>1</v>
      </c>
      <c r="J17" s="8" t="s">
        <v>1</v>
      </c>
      <c r="K17" s="8" t="s">
        <v>1</v>
      </c>
      <c r="L17" s="8" t="s">
        <v>1</v>
      </c>
      <c r="M17" s="8"/>
      <c r="N17" s="8"/>
      <c r="O17" s="8"/>
      <c r="P17" s="8" t="s">
        <v>1</v>
      </c>
      <c r="Q17" s="8" t="s">
        <v>1</v>
      </c>
      <c r="R17" s="8" t="s">
        <v>1</v>
      </c>
      <c r="S17" s="8" t="s">
        <v>1</v>
      </c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>
        <f t="shared" si="0"/>
        <v>8</v>
      </c>
      <c r="AM17" s="8">
        <f t="shared" si="1"/>
        <v>0</v>
      </c>
      <c r="AN17" s="8">
        <f t="shared" si="2"/>
        <v>0</v>
      </c>
      <c r="AO17" s="8">
        <f t="shared" si="3"/>
        <v>8</v>
      </c>
    </row>
    <row r="18" spans="1:41" ht="12" customHeight="1" x14ac:dyDescent="0.35">
      <c r="A18" s="9">
        <v>12</v>
      </c>
      <c r="B18" s="10">
        <f>IFERROR(VLOOKUP(A18&amp;$AJ$2,Data!$A$2:$AM$131,3,FALSE), "")</f>
        <v>0</v>
      </c>
      <c r="C18" s="11" t="str">
        <f>IFERROR(VLOOKUP(A18&amp;$AJ$2,Data!$A$2:$AM$131,4,FALSE), "")</f>
        <v>Roderick Yang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>
        <f t="shared" si="0"/>
        <v>0</v>
      </c>
      <c r="AM18" s="8">
        <f t="shared" si="1"/>
        <v>0</v>
      </c>
      <c r="AN18" s="8">
        <f t="shared" si="2"/>
        <v>0</v>
      </c>
      <c r="AO18" s="8">
        <f t="shared" si="3"/>
        <v>0</v>
      </c>
    </row>
    <row r="19" spans="1:41" ht="12" customHeight="1" x14ac:dyDescent="0.35">
      <c r="A19" s="9">
        <v>13</v>
      </c>
      <c r="B19" s="10" t="str">
        <f>IFERROR(VLOOKUP(A19&amp;$AJ$2,Data!$A$2:$AM$131,3,FALSE), "")</f>
        <v/>
      </c>
      <c r="C19" s="11" t="str">
        <f>IFERROR(VLOOKUP(A19&amp;$AJ$2,Data!$A$2:$AM$131,4,FALSE), "")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>
        <f t="shared" si="0"/>
        <v>0</v>
      </c>
      <c r="AM19" s="8">
        <f t="shared" si="1"/>
        <v>0</v>
      </c>
      <c r="AN19" s="8">
        <f t="shared" si="2"/>
        <v>0</v>
      </c>
      <c r="AO19" s="8">
        <f t="shared" si="3"/>
        <v>0</v>
      </c>
    </row>
    <row r="20" spans="1:41" ht="12" customHeight="1" x14ac:dyDescent="0.35">
      <c r="A20" s="9">
        <v>14</v>
      </c>
      <c r="B20" s="10" t="str">
        <f>IFERROR(VLOOKUP(A20&amp;$AJ$2,Data!$A$2:$AM$131,3,FALSE), "")</f>
        <v/>
      </c>
      <c r="C20" s="11" t="str">
        <f>IFERROR(VLOOKUP(A20&amp;$AJ$2,Data!$A$2:$AM$131,4,FALSE), "")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L20" s="8">
        <f t="shared" si="0"/>
        <v>0</v>
      </c>
      <c r="AM20" s="8">
        <f t="shared" si="1"/>
        <v>0</v>
      </c>
      <c r="AN20" s="8">
        <f t="shared" si="2"/>
        <v>0</v>
      </c>
      <c r="AO20" s="8">
        <f t="shared" si="3"/>
        <v>0</v>
      </c>
    </row>
    <row r="21" spans="1:41" ht="12" customHeight="1" x14ac:dyDescent="0.35">
      <c r="A21" s="9">
        <v>15</v>
      </c>
      <c r="B21" s="10" t="str">
        <f>IFERROR(VLOOKUP(A21&amp;$AJ$2,Data!$A$2:$AM$131,3,FALSE), "")</f>
        <v/>
      </c>
      <c r="C21" s="11" t="str">
        <f>IFERROR(VLOOKUP(A21&amp;$AJ$2,Data!$A$2:$AM$131,4,FALSE), "")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>
        <f t="shared" si="0"/>
        <v>0</v>
      </c>
      <c r="AM21" s="8">
        <f t="shared" si="1"/>
        <v>0</v>
      </c>
      <c r="AN21" s="8">
        <f t="shared" si="2"/>
        <v>0</v>
      </c>
      <c r="AO21" s="8">
        <f t="shared" si="3"/>
        <v>0</v>
      </c>
    </row>
    <row r="22" spans="1:41" ht="12" customHeight="1" x14ac:dyDescent="0.35">
      <c r="A22" s="9">
        <v>16</v>
      </c>
      <c r="B22" s="10" t="str">
        <f>IFERROR(VLOOKUP(A22&amp;$AJ$2,Data!$A$2:$AM$131,3,FALSE), "")</f>
        <v/>
      </c>
      <c r="C22" s="11" t="str">
        <f>IFERROR(VLOOKUP(A22&amp;$AJ$2,Data!$A$2:$AM$131,4,FALSE), "")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>
        <f t="shared" si="0"/>
        <v>0</v>
      </c>
      <c r="AM22" s="8">
        <f t="shared" si="1"/>
        <v>0</v>
      </c>
      <c r="AN22" s="8">
        <f t="shared" si="2"/>
        <v>0</v>
      </c>
      <c r="AO22" s="8">
        <f t="shared" si="3"/>
        <v>0</v>
      </c>
    </row>
    <row r="23" spans="1:41" ht="12" customHeight="1" x14ac:dyDescent="0.35">
      <c r="A23" s="9">
        <v>17</v>
      </c>
      <c r="B23" s="10" t="str">
        <f>IFERROR(VLOOKUP(A23&amp;$AJ$2,Data!$A$2:$AM$131,3,FALSE), "")</f>
        <v/>
      </c>
      <c r="C23" s="11" t="str">
        <f>IFERROR(VLOOKUP(A23&amp;$AJ$2,Data!$A$2:$AM$131,4,FALSE), "")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>
        <f t="shared" si="0"/>
        <v>0</v>
      </c>
      <c r="AM23" s="8">
        <f t="shared" si="1"/>
        <v>0</v>
      </c>
      <c r="AN23" s="8">
        <f t="shared" si="2"/>
        <v>0</v>
      </c>
      <c r="AO23" s="8">
        <f t="shared" si="3"/>
        <v>0</v>
      </c>
    </row>
    <row r="24" spans="1:41" ht="12" customHeight="1" x14ac:dyDescent="0.35">
      <c r="A24" s="9">
        <v>18</v>
      </c>
      <c r="B24" s="10" t="str">
        <f>IFERROR(VLOOKUP(A24&amp;$AJ$2,Data!$A$2:$AM$131,3,FALSE), "")</f>
        <v/>
      </c>
      <c r="C24" s="11" t="str">
        <f>IFERROR(VLOOKUP(A24&amp;$AJ$2,Data!$A$2:$AM$131,4,FALSE), "")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>
        <f t="shared" si="0"/>
        <v>0</v>
      </c>
      <c r="AM24" s="8">
        <f t="shared" si="1"/>
        <v>0</v>
      </c>
      <c r="AN24" s="8">
        <f t="shared" si="2"/>
        <v>0</v>
      </c>
      <c r="AO24" s="8">
        <f t="shared" si="3"/>
        <v>0</v>
      </c>
    </row>
    <row r="25" spans="1:41" ht="12" customHeight="1" x14ac:dyDescent="0.35">
      <c r="A25" s="9">
        <v>19</v>
      </c>
      <c r="B25" s="10" t="str">
        <f>IFERROR(VLOOKUP(A25&amp;$AJ$2,Data!$A$2:$AM$131,3,FALSE), "")</f>
        <v/>
      </c>
      <c r="C25" s="11" t="str">
        <f>IFERROR(VLOOKUP(A25&amp;$AJ$2,Data!$A$2:$AM$131,4,FALSE), "")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>
        <f t="shared" si="0"/>
        <v>0</v>
      </c>
      <c r="AM25" s="8">
        <f t="shared" si="1"/>
        <v>0</v>
      </c>
      <c r="AN25" s="8">
        <f t="shared" si="2"/>
        <v>0</v>
      </c>
      <c r="AO25" s="8">
        <f t="shared" si="3"/>
        <v>0</v>
      </c>
    </row>
    <row r="26" spans="1:41" ht="12" customHeight="1" x14ac:dyDescent="0.35">
      <c r="A26" s="9">
        <v>20</v>
      </c>
      <c r="B26" s="10" t="str">
        <f>IFERROR(VLOOKUP(A26&amp;$AJ$2,Data!$A$2:$AM$131,3,FALSE), "")</f>
        <v/>
      </c>
      <c r="C26" s="11" t="str">
        <f>IFERROR(VLOOKUP(A26&amp;$AJ$2,Data!$A$2:$AM$131,4,FALSE), "")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>
        <f t="shared" si="0"/>
        <v>0</v>
      </c>
      <c r="AM26" s="8">
        <f t="shared" si="1"/>
        <v>0</v>
      </c>
      <c r="AN26" s="8">
        <f t="shared" si="2"/>
        <v>0</v>
      </c>
      <c r="AO26" s="8">
        <f t="shared" si="3"/>
        <v>0</v>
      </c>
    </row>
    <row r="27" spans="1:41" ht="12" customHeight="1" x14ac:dyDescent="0.35">
      <c r="A27" s="9">
        <v>21</v>
      </c>
      <c r="B27" s="10" t="str">
        <f>IFERROR(VLOOKUP(A27&amp;$AJ$2,Data!$A$2:$AM$131,3,FALSE), "")</f>
        <v/>
      </c>
      <c r="C27" s="11" t="str">
        <f>IFERROR(VLOOKUP(A27&amp;$AJ$2,Data!$A$2:$AM$131,4,FALSE), "")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>
        <f t="shared" si="0"/>
        <v>0</v>
      </c>
      <c r="AM27" s="8">
        <f t="shared" si="1"/>
        <v>0</v>
      </c>
      <c r="AN27" s="8">
        <f t="shared" si="2"/>
        <v>0</v>
      </c>
      <c r="AO27" s="8">
        <f t="shared" si="3"/>
        <v>0</v>
      </c>
    </row>
    <row r="28" spans="1:41" ht="12" customHeight="1" x14ac:dyDescent="0.35">
      <c r="A28" s="9">
        <v>22</v>
      </c>
      <c r="B28" s="10" t="str">
        <f>IFERROR(VLOOKUP(A28&amp;$AJ$2,Data!$A$2:$AM$131,3,FALSE), "")</f>
        <v/>
      </c>
      <c r="C28" s="11" t="str">
        <f>IFERROR(VLOOKUP(A28&amp;$AJ$2,Data!$A$2:$AM$131,4,FALSE), "")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>
        <f t="shared" si="0"/>
        <v>0</v>
      </c>
      <c r="AM28" s="8">
        <f t="shared" si="1"/>
        <v>0</v>
      </c>
      <c r="AN28" s="8">
        <f t="shared" si="2"/>
        <v>0</v>
      </c>
      <c r="AO28" s="8">
        <f t="shared" si="3"/>
        <v>0</v>
      </c>
    </row>
    <row r="29" spans="1:41" ht="12" customHeight="1" x14ac:dyDescent="0.35">
      <c r="A29" s="9">
        <v>23</v>
      </c>
      <c r="B29" s="10" t="str">
        <f>IFERROR(VLOOKUP(A29&amp;$AJ$2,Data!$A$2:$AM$131,3,FALSE), "")</f>
        <v/>
      </c>
      <c r="C29" s="11" t="str">
        <f>IFERROR(VLOOKUP(A29&amp;$AJ$2,Data!$A$2:$AM$131,4,FALSE), "")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>
        <f t="shared" si="0"/>
        <v>0</v>
      </c>
      <c r="AM29" s="8">
        <f t="shared" si="1"/>
        <v>0</v>
      </c>
      <c r="AN29" s="8">
        <f t="shared" si="2"/>
        <v>0</v>
      </c>
      <c r="AO29" s="8">
        <f t="shared" si="3"/>
        <v>0</v>
      </c>
    </row>
    <row r="30" spans="1:41" ht="12" customHeight="1" x14ac:dyDescent="0.35">
      <c r="A30" s="9">
        <v>24</v>
      </c>
      <c r="B30" s="10" t="str">
        <f>IFERROR(VLOOKUP(A30&amp;$AJ$2,Data!$A$2:$AM$131,3,FALSE), "")</f>
        <v/>
      </c>
      <c r="C30" s="11" t="str">
        <f>IFERROR(VLOOKUP(A30&amp;$AJ$2,Data!$A$2:$AM$131,4,FALSE), "")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>
        <f t="shared" si="0"/>
        <v>0</v>
      </c>
      <c r="AM30" s="8">
        <f t="shared" si="1"/>
        <v>0</v>
      </c>
      <c r="AN30" s="8">
        <f t="shared" si="2"/>
        <v>0</v>
      </c>
      <c r="AO30" s="8">
        <f t="shared" si="3"/>
        <v>0</v>
      </c>
    </row>
    <row r="31" spans="1:41" ht="12" customHeight="1" x14ac:dyDescent="0.35">
      <c r="A31" s="9">
        <v>25</v>
      </c>
      <c r="B31" s="10" t="str">
        <f>IFERROR(VLOOKUP(A31&amp;$AJ$2,Data!$A$2:$AM$131,3,FALSE), "")</f>
        <v/>
      </c>
      <c r="C31" s="11" t="str">
        <f>IFERROR(VLOOKUP(A31&amp;$AJ$2,Data!$A$2:$AM$131,4,FALSE), "")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>
        <f t="shared" si="0"/>
        <v>0</v>
      </c>
      <c r="AM31" s="8">
        <f t="shared" si="1"/>
        <v>0</v>
      </c>
      <c r="AN31" s="8">
        <f t="shared" si="2"/>
        <v>0</v>
      </c>
      <c r="AO31" s="8">
        <f t="shared" si="3"/>
        <v>0</v>
      </c>
    </row>
    <row r="32" spans="1:41" ht="12" customHeight="1" x14ac:dyDescent="0.35">
      <c r="A32" s="9">
        <v>26</v>
      </c>
      <c r="B32" s="10" t="str">
        <f>IFERROR(VLOOKUP(A32&amp;$AJ$2,Data!$A$2:$AM$131,3,FALSE), "")</f>
        <v/>
      </c>
      <c r="C32" s="11" t="str">
        <f>IFERROR(VLOOKUP(A32&amp;$AJ$2,Data!$A$2:$AM$131,4,FALSE), "")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>
        <f t="shared" si="0"/>
        <v>0</v>
      </c>
      <c r="AM32" s="8">
        <f t="shared" si="1"/>
        <v>0</v>
      </c>
      <c r="AN32" s="8">
        <f t="shared" si="2"/>
        <v>0</v>
      </c>
      <c r="AO32" s="8">
        <f t="shared" si="3"/>
        <v>0</v>
      </c>
    </row>
    <row r="33" spans="1:41" ht="12" customHeight="1" x14ac:dyDescent="0.35">
      <c r="A33" s="9">
        <v>27</v>
      </c>
      <c r="B33" s="10" t="str">
        <f>IFERROR(VLOOKUP(A33&amp;$AJ$2,Data!$A$2:$AM$131,3,FALSE), "")</f>
        <v/>
      </c>
      <c r="C33" s="11" t="str">
        <f>IFERROR(VLOOKUP(A33&amp;$AJ$2,Data!$A$2:$AM$131,4,FALSE), "")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>
        <f t="shared" si="0"/>
        <v>0</v>
      </c>
      <c r="AM33" s="8">
        <f t="shared" si="1"/>
        <v>0</v>
      </c>
      <c r="AN33" s="8">
        <f t="shared" si="2"/>
        <v>0</v>
      </c>
      <c r="AO33" s="8">
        <f t="shared" si="3"/>
        <v>0</v>
      </c>
    </row>
    <row r="34" spans="1:41" ht="12" customHeight="1" x14ac:dyDescent="0.35">
      <c r="A34" s="9">
        <v>28</v>
      </c>
      <c r="B34" s="10" t="str">
        <f>IFERROR(VLOOKUP(A34&amp;$AJ$2,Data!$A$2:$AM$131,3,FALSE), "")</f>
        <v/>
      </c>
      <c r="C34" s="11" t="str">
        <f>IFERROR(VLOOKUP(A34&amp;$AJ$2,Data!$A$2:$AM$131,4,FALSE), "")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>
        <f t="shared" si="0"/>
        <v>0</v>
      </c>
      <c r="AM34" s="8">
        <f t="shared" si="1"/>
        <v>0</v>
      </c>
      <c r="AN34" s="8">
        <f t="shared" si="2"/>
        <v>0</v>
      </c>
      <c r="AO34" s="8">
        <f t="shared" si="3"/>
        <v>0</v>
      </c>
    </row>
    <row r="35" spans="1:41" ht="12" customHeight="1" x14ac:dyDescent="0.35">
      <c r="A35" s="9">
        <v>29</v>
      </c>
      <c r="B35" s="10" t="str">
        <f>IFERROR(VLOOKUP(A35&amp;$AJ$2,Data!$A$2:$AM$131,3,FALSE), "")</f>
        <v/>
      </c>
      <c r="C35" s="11" t="str">
        <f>IFERROR(VLOOKUP(A35&amp;$AJ$2,Data!$A$2:$AM$131,4,FALSE), "")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>
        <f t="shared" si="0"/>
        <v>0</v>
      </c>
      <c r="AM35" s="8">
        <f t="shared" si="1"/>
        <v>0</v>
      </c>
      <c r="AN35" s="8">
        <f t="shared" si="2"/>
        <v>0</v>
      </c>
      <c r="AO35" s="8">
        <f t="shared" si="3"/>
        <v>0</v>
      </c>
    </row>
    <row r="36" spans="1:41" ht="12" customHeight="1" x14ac:dyDescent="0.35">
      <c r="A36" s="9">
        <v>30</v>
      </c>
      <c r="B36" s="10" t="str">
        <f>IFERROR(VLOOKUP(A36&amp;$AJ$2,Data!$A$2:$AM$131,3,FALSE), "")</f>
        <v/>
      </c>
      <c r="C36" s="11" t="str">
        <f>IFERROR(VLOOKUP(A36&amp;$AJ$2,Data!$A$2:$AM$131,4,FALSE), "")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>
        <f t="shared" si="0"/>
        <v>0</v>
      </c>
      <c r="AM36" s="8">
        <f t="shared" si="1"/>
        <v>0</v>
      </c>
      <c r="AN36" s="8">
        <f t="shared" si="2"/>
        <v>0</v>
      </c>
      <c r="AO36" s="8">
        <f t="shared" si="3"/>
        <v>0</v>
      </c>
    </row>
    <row r="37" spans="1:41" ht="12" customHeight="1" x14ac:dyDescent="0.35">
      <c r="A37" s="9">
        <v>31</v>
      </c>
      <c r="B37" s="10" t="str">
        <f>IFERROR(VLOOKUP(A37&amp;$AJ$2,Data!$A$2:$AM$131,3,FALSE), "")</f>
        <v/>
      </c>
      <c r="C37" s="11" t="str">
        <f>IFERROR(VLOOKUP(A37&amp;$AJ$2,Data!$A$2:$AM$131,4,FALSE), "")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>
        <f t="shared" si="0"/>
        <v>0</v>
      </c>
      <c r="AM37" s="8">
        <f t="shared" si="1"/>
        <v>0</v>
      </c>
      <c r="AN37" s="8">
        <f t="shared" si="2"/>
        <v>0</v>
      </c>
      <c r="AO37" s="8">
        <f t="shared" si="3"/>
        <v>0</v>
      </c>
    </row>
    <row r="38" spans="1:41" ht="12" customHeight="1" x14ac:dyDescent="0.35">
      <c r="A38" s="9">
        <v>32</v>
      </c>
      <c r="B38" s="10" t="str">
        <f>IFERROR(VLOOKUP(A38&amp;$AJ$2,Data!$A$2:$AM$131,3,FALSE), "")</f>
        <v/>
      </c>
      <c r="C38" s="11" t="str">
        <f>IFERROR(VLOOKUP(A38&amp;$AJ$2,Data!$A$2:$AM$131,4,FALSE), "")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>
        <f t="shared" si="0"/>
        <v>0</v>
      </c>
      <c r="AM38" s="8">
        <f t="shared" si="1"/>
        <v>0</v>
      </c>
      <c r="AN38" s="8">
        <f t="shared" si="2"/>
        <v>0</v>
      </c>
      <c r="AO38" s="8">
        <f t="shared" si="3"/>
        <v>0</v>
      </c>
    </row>
    <row r="39" spans="1:41" ht="12" customHeight="1" x14ac:dyDescent="0.35">
      <c r="A39" s="9">
        <v>33</v>
      </c>
      <c r="B39" s="10" t="str">
        <f>IFERROR(VLOOKUP(A39&amp;$AJ$2,Data!$A$2:$AM$131,3,FALSE), "")</f>
        <v/>
      </c>
      <c r="C39" s="11" t="str">
        <f>IFERROR(VLOOKUP(A39&amp;$AJ$2,Data!$A$2:$AM$131,4,FALSE), "")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>
        <f t="shared" si="0"/>
        <v>0</v>
      </c>
      <c r="AM39" s="8">
        <f t="shared" si="1"/>
        <v>0</v>
      </c>
      <c r="AN39" s="8">
        <f t="shared" si="2"/>
        <v>0</v>
      </c>
      <c r="AO39" s="8">
        <f t="shared" si="3"/>
        <v>0</v>
      </c>
    </row>
    <row r="40" spans="1:41" ht="12" customHeight="1" x14ac:dyDescent="0.35">
      <c r="A40" s="9">
        <v>34</v>
      </c>
      <c r="B40" s="10" t="str">
        <f>IFERROR(VLOOKUP(A40&amp;$AJ$2,Data!$A$2:$AM$131,3,FALSE), "")</f>
        <v/>
      </c>
      <c r="C40" s="11" t="str">
        <f>IFERROR(VLOOKUP(A40&amp;$AJ$2,Data!$A$2:$AM$131,4,FALSE), "")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>
        <f t="shared" si="0"/>
        <v>0</v>
      </c>
      <c r="AM40" s="8">
        <f t="shared" si="1"/>
        <v>0</v>
      </c>
      <c r="AN40" s="8">
        <f t="shared" si="2"/>
        <v>0</v>
      </c>
      <c r="AO40" s="8">
        <f t="shared" si="3"/>
        <v>0</v>
      </c>
    </row>
    <row r="41" spans="1:41" ht="12" customHeight="1" x14ac:dyDescent="0.35">
      <c r="A41" s="9">
        <v>35</v>
      </c>
      <c r="B41" s="10" t="str">
        <f>IFERROR(VLOOKUP(A41&amp;$AJ$2,Data!$A$2:$AM$131,3,FALSE), "")</f>
        <v/>
      </c>
      <c r="C41" s="11" t="str">
        <f>IFERROR(VLOOKUP(A41&amp;$AJ$2,Data!$A$2:$AM$131,4,FALSE), "")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>
        <f t="shared" si="0"/>
        <v>0</v>
      </c>
      <c r="AM41" s="8">
        <f t="shared" si="1"/>
        <v>0</v>
      </c>
      <c r="AN41" s="8">
        <f t="shared" si="2"/>
        <v>0</v>
      </c>
      <c r="AO41" s="8">
        <f t="shared" si="3"/>
        <v>0</v>
      </c>
    </row>
    <row r="42" spans="1:41" ht="12" customHeight="1" x14ac:dyDescent="0.35">
      <c r="A42" s="9">
        <v>36</v>
      </c>
      <c r="B42" s="10" t="str">
        <f>IFERROR(VLOOKUP(A42&amp;$AJ$2,Data!$A$2:$AM$131,3,FALSE), "")</f>
        <v/>
      </c>
      <c r="C42" s="11" t="str">
        <f>IFERROR(VLOOKUP(A42&amp;$AJ$2,Data!$A$2:$AM$131,4,FALSE), "")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>
        <f t="shared" si="0"/>
        <v>0</v>
      </c>
      <c r="AM42" s="8">
        <f t="shared" si="1"/>
        <v>0</v>
      </c>
      <c r="AN42" s="8">
        <f t="shared" si="2"/>
        <v>0</v>
      </c>
      <c r="AO42" s="8">
        <f t="shared" si="3"/>
        <v>0</v>
      </c>
    </row>
    <row r="43" spans="1:41" ht="14.25" customHeight="1" x14ac:dyDescent="0.35">
      <c r="A43" s="9">
        <v>37</v>
      </c>
      <c r="B43" s="10" t="str">
        <f>IFERROR(VLOOKUP(A43&amp;$AJ$2,Data!$A$2:$AM$131,3,FALSE), "")</f>
        <v/>
      </c>
      <c r="C43" s="11" t="str">
        <f>IFERROR(VLOOKUP(A43&amp;$AJ$2,Data!$A$2:$AM$131,4,FALSE), "")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>
        <f t="shared" si="0"/>
        <v>0</v>
      </c>
      <c r="AM43" s="8">
        <f t="shared" si="1"/>
        <v>0</v>
      </c>
      <c r="AN43" s="8">
        <f t="shared" si="2"/>
        <v>0</v>
      </c>
      <c r="AO43" s="8">
        <f t="shared" si="3"/>
        <v>0</v>
      </c>
    </row>
    <row r="44" spans="1:41" ht="14.25" customHeight="1" x14ac:dyDescent="0.35">
      <c r="A44" s="9">
        <v>38</v>
      </c>
      <c r="B44" s="10" t="str">
        <f>IFERROR(VLOOKUP(A44&amp;$AJ$2,Data!$A$2:$AM$131,3,FALSE), "")</f>
        <v/>
      </c>
      <c r="C44" s="11" t="str">
        <f>IFERROR(VLOOKUP(A44&amp;$AJ$2,Data!$A$2:$AM$131,4,FALSE), "")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>
        <f t="shared" si="0"/>
        <v>0</v>
      </c>
      <c r="AM44" s="8">
        <f t="shared" si="1"/>
        <v>0</v>
      </c>
      <c r="AN44" s="8">
        <f t="shared" si="2"/>
        <v>0</v>
      </c>
      <c r="AO44" s="8">
        <f t="shared" si="3"/>
        <v>0</v>
      </c>
    </row>
    <row r="45" spans="1:41" ht="14.25" customHeight="1" x14ac:dyDescent="0.35">
      <c r="A45" s="9">
        <v>39</v>
      </c>
      <c r="B45" s="10" t="str">
        <f>IFERROR(VLOOKUP(A45&amp;$AJ$2,Data!$A$2:$AM$131,3,FALSE), "")</f>
        <v/>
      </c>
      <c r="C45" s="11" t="str">
        <f>IFERROR(VLOOKUP(A45&amp;$AJ$2,Data!$A$2:$AM$131,4,FALSE), "")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>
        <f t="shared" si="0"/>
        <v>0</v>
      </c>
      <c r="AM45" s="8">
        <f t="shared" si="1"/>
        <v>0</v>
      </c>
      <c r="AN45" s="8">
        <f t="shared" si="2"/>
        <v>0</v>
      </c>
      <c r="AO45" s="8">
        <f t="shared" si="3"/>
        <v>0</v>
      </c>
    </row>
    <row r="46" spans="1:41" ht="14.25" customHeight="1" x14ac:dyDescent="0.35">
      <c r="A46" s="9">
        <v>40</v>
      </c>
      <c r="B46" s="10" t="str">
        <f>IFERROR(VLOOKUP(A46&amp;$AJ$2,Data!$A$2:$AM$131,3,FALSE), "")</f>
        <v/>
      </c>
      <c r="C46" s="11" t="str">
        <f>IFERROR(VLOOKUP(A46&amp;$AJ$2,Data!$A$2:$AM$131,4,FALSE), "")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>
        <f t="shared" si="0"/>
        <v>0</v>
      </c>
      <c r="AM46" s="8">
        <f t="shared" si="1"/>
        <v>0</v>
      </c>
      <c r="AN46" s="8">
        <f t="shared" si="2"/>
        <v>0</v>
      </c>
      <c r="AO46" s="8">
        <f t="shared" si="3"/>
        <v>0</v>
      </c>
    </row>
    <row r="47" spans="1:41" ht="14.25" customHeight="1" x14ac:dyDescent="0.35"/>
    <row r="48" spans="1:41" ht="14.25" customHeight="1" x14ac:dyDescent="0.35">
      <c r="C48" s="3" t="s">
        <v>1</v>
      </c>
      <c r="E48" s="15">
        <f t="shared" ref="E48:AH48" si="4">COUNTIF(E7:E46,"S")</f>
        <v>1</v>
      </c>
      <c r="F48" s="15">
        <f t="shared" si="4"/>
        <v>0</v>
      </c>
      <c r="G48" s="15">
        <f t="shared" si="4"/>
        <v>0</v>
      </c>
      <c r="H48" s="15">
        <f t="shared" si="4"/>
        <v>0</v>
      </c>
      <c r="I48" s="15">
        <f t="shared" si="4"/>
        <v>1</v>
      </c>
      <c r="J48" s="15">
        <f t="shared" si="4"/>
        <v>1</v>
      </c>
      <c r="K48" s="15">
        <f t="shared" si="4"/>
        <v>1</v>
      </c>
      <c r="L48" s="15">
        <f t="shared" si="4"/>
        <v>2</v>
      </c>
      <c r="M48" s="15">
        <f t="shared" si="4"/>
        <v>0</v>
      </c>
      <c r="N48" s="15">
        <f t="shared" si="4"/>
        <v>0</v>
      </c>
      <c r="O48" s="15">
        <f t="shared" si="4"/>
        <v>0</v>
      </c>
      <c r="P48" s="15">
        <f t="shared" si="4"/>
        <v>2</v>
      </c>
      <c r="Q48" s="15">
        <f t="shared" si="4"/>
        <v>1</v>
      </c>
      <c r="R48" s="15">
        <f t="shared" si="4"/>
        <v>2</v>
      </c>
      <c r="S48" s="15">
        <f t="shared" si="4"/>
        <v>1</v>
      </c>
      <c r="T48" s="15">
        <f t="shared" si="4"/>
        <v>0</v>
      </c>
      <c r="U48" s="15">
        <f t="shared" si="4"/>
        <v>0</v>
      </c>
      <c r="V48" s="15">
        <f t="shared" si="4"/>
        <v>0</v>
      </c>
      <c r="W48" s="15">
        <f t="shared" si="4"/>
        <v>0</v>
      </c>
      <c r="X48" s="15">
        <f t="shared" si="4"/>
        <v>0</v>
      </c>
      <c r="Y48" s="15">
        <f t="shared" si="4"/>
        <v>0</v>
      </c>
      <c r="Z48" s="15">
        <f t="shared" si="4"/>
        <v>0</v>
      </c>
      <c r="AA48" s="15">
        <f t="shared" si="4"/>
        <v>0</v>
      </c>
      <c r="AB48" s="15">
        <f t="shared" si="4"/>
        <v>0</v>
      </c>
      <c r="AC48" s="15">
        <f t="shared" si="4"/>
        <v>0</v>
      </c>
      <c r="AD48" s="15">
        <f t="shared" si="4"/>
        <v>0</v>
      </c>
      <c r="AE48" s="15">
        <f t="shared" si="4"/>
        <v>0</v>
      </c>
      <c r="AF48" s="15">
        <f t="shared" si="4"/>
        <v>0</v>
      </c>
      <c r="AG48" s="15">
        <f t="shared" si="4"/>
        <v>0</v>
      </c>
      <c r="AH48" s="15">
        <f t="shared" si="4"/>
        <v>0</v>
      </c>
      <c r="AI48" s="15"/>
    </row>
    <row r="49" spans="3:35" ht="14.25" customHeight="1" x14ac:dyDescent="0.35">
      <c r="C49" s="3" t="s">
        <v>3</v>
      </c>
      <c r="E49" s="15">
        <f t="shared" ref="E49:AH49" si="5">COUNTIF(E7:E46,"I")</f>
        <v>0</v>
      </c>
      <c r="F49" s="15">
        <f t="shared" si="5"/>
        <v>0</v>
      </c>
      <c r="G49" s="15">
        <f t="shared" si="5"/>
        <v>0</v>
      </c>
      <c r="H49" s="15">
        <f t="shared" si="5"/>
        <v>0</v>
      </c>
      <c r="I49" s="15">
        <f t="shared" si="5"/>
        <v>0</v>
      </c>
      <c r="J49" s="15">
        <f t="shared" si="5"/>
        <v>0</v>
      </c>
      <c r="K49" s="15">
        <f t="shared" si="5"/>
        <v>0</v>
      </c>
      <c r="L49" s="15">
        <f t="shared" si="5"/>
        <v>0</v>
      </c>
      <c r="M49" s="15">
        <f t="shared" si="5"/>
        <v>0</v>
      </c>
      <c r="N49" s="15">
        <f t="shared" si="5"/>
        <v>0</v>
      </c>
      <c r="O49" s="15">
        <f t="shared" si="5"/>
        <v>0</v>
      </c>
      <c r="P49" s="15">
        <f t="shared" si="5"/>
        <v>0</v>
      </c>
      <c r="Q49" s="15">
        <f t="shared" si="5"/>
        <v>0</v>
      </c>
      <c r="R49" s="15">
        <f t="shared" si="5"/>
        <v>0</v>
      </c>
      <c r="S49" s="15">
        <f t="shared" si="5"/>
        <v>0</v>
      </c>
      <c r="T49" s="15">
        <f t="shared" si="5"/>
        <v>0</v>
      </c>
      <c r="U49" s="15">
        <f t="shared" si="5"/>
        <v>0</v>
      </c>
      <c r="V49" s="15">
        <f t="shared" si="5"/>
        <v>0</v>
      </c>
      <c r="W49" s="15">
        <f t="shared" si="5"/>
        <v>0</v>
      </c>
      <c r="X49" s="15">
        <f t="shared" si="5"/>
        <v>0</v>
      </c>
      <c r="Y49" s="15">
        <f t="shared" si="5"/>
        <v>0</v>
      </c>
      <c r="Z49" s="15">
        <f t="shared" si="5"/>
        <v>0</v>
      </c>
      <c r="AA49" s="15">
        <f t="shared" si="5"/>
        <v>0</v>
      </c>
      <c r="AB49" s="15">
        <f t="shared" si="5"/>
        <v>0</v>
      </c>
      <c r="AC49" s="15">
        <f t="shared" si="5"/>
        <v>0</v>
      </c>
      <c r="AD49" s="15">
        <f t="shared" si="5"/>
        <v>0</v>
      </c>
      <c r="AE49" s="15">
        <f t="shared" si="5"/>
        <v>0</v>
      </c>
      <c r="AF49" s="15">
        <f t="shared" si="5"/>
        <v>0</v>
      </c>
      <c r="AG49" s="15">
        <f t="shared" si="5"/>
        <v>0</v>
      </c>
      <c r="AH49" s="15">
        <f t="shared" si="5"/>
        <v>0</v>
      </c>
      <c r="AI49" s="15"/>
    </row>
    <row r="50" spans="3:35" ht="14.25" customHeight="1" x14ac:dyDescent="0.35">
      <c r="C50" s="3" t="s">
        <v>43</v>
      </c>
      <c r="E50" s="15">
        <f t="shared" ref="E50:AH50" si="6">COUNTIF(E7:E46,"A")</f>
        <v>0</v>
      </c>
      <c r="F50" s="15">
        <f t="shared" si="6"/>
        <v>0</v>
      </c>
      <c r="G50" s="15">
        <f t="shared" si="6"/>
        <v>0</v>
      </c>
      <c r="H50" s="15">
        <f t="shared" si="6"/>
        <v>0</v>
      </c>
      <c r="I50" s="15">
        <f t="shared" si="6"/>
        <v>0</v>
      </c>
      <c r="J50" s="15">
        <f t="shared" si="6"/>
        <v>0</v>
      </c>
      <c r="K50" s="15">
        <f t="shared" si="6"/>
        <v>0</v>
      </c>
      <c r="L50" s="15">
        <f t="shared" si="6"/>
        <v>0</v>
      </c>
      <c r="M50" s="15">
        <f t="shared" si="6"/>
        <v>0</v>
      </c>
      <c r="N50" s="15">
        <f t="shared" si="6"/>
        <v>0</v>
      </c>
      <c r="O50" s="15">
        <f t="shared" si="6"/>
        <v>0</v>
      </c>
      <c r="P50" s="15">
        <f t="shared" si="6"/>
        <v>0</v>
      </c>
      <c r="Q50" s="15">
        <f t="shared" si="6"/>
        <v>0</v>
      </c>
      <c r="R50" s="15">
        <f t="shared" si="6"/>
        <v>0</v>
      </c>
      <c r="S50" s="15">
        <f t="shared" si="6"/>
        <v>0</v>
      </c>
      <c r="T50" s="15">
        <f t="shared" si="6"/>
        <v>0</v>
      </c>
      <c r="U50" s="15">
        <f t="shared" si="6"/>
        <v>0</v>
      </c>
      <c r="V50" s="15">
        <f t="shared" si="6"/>
        <v>0</v>
      </c>
      <c r="W50" s="15">
        <f t="shared" si="6"/>
        <v>0</v>
      </c>
      <c r="X50" s="15">
        <f t="shared" si="6"/>
        <v>0</v>
      </c>
      <c r="Y50" s="15">
        <f t="shared" si="6"/>
        <v>0</v>
      </c>
      <c r="Z50" s="15">
        <f t="shared" si="6"/>
        <v>0</v>
      </c>
      <c r="AA50" s="15">
        <f t="shared" si="6"/>
        <v>0</v>
      </c>
      <c r="AB50" s="15">
        <f t="shared" si="6"/>
        <v>0</v>
      </c>
      <c r="AC50" s="15">
        <f t="shared" si="6"/>
        <v>0</v>
      </c>
      <c r="AD50" s="15">
        <f t="shared" si="6"/>
        <v>0</v>
      </c>
      <c r="AE50" s="15">
        <f t="shared" si="6"/>
        <v>0</v>
      </c>
      <c r="AF50" s="15">
        <f t="shared" si="6"/>
        <v>0</v>
      </c>
      <c r="AG50" s="15">
        <f t="shared" si="6"/>
        <v>0</v>
      </c>
      <c r="AH50" s="15">
        <f t="shared" si="6"/>
        <v>0</v>
      </c>
      <c r="AI50" s="15"/>
    </row>
    <row r="51" spans="3:35" ht="14.25" customHeight="1" x14ac:dyDescent="0.35"/>
    <row r="52" spans="3:35" ht="14.25" customHeight="1" x14ac:dyDescent="0.35"/>
    <row r="53" spans="3:35" ht="14.25" customHeight="1" x14ac:dyDescent="0.35"/>
    <row r="54" spans="3:35" ht="14.25" customHeight="1" x14ac:dyDescent="0.35"/>
    <row r="55" spans="3:35" ht="14.25" customHeight="1" x14ac:dyDescent="0.35"/>
    <row r="56" spans="3:35" ht="14.25" customHeight="1" x14ac:dyDescent="0.35"/>
    <row r="57" spans="3:35" ht="14.25" customHeight="1" x14ac:dyDescent="0.35"/>
    <row r="58" spans="3:35" ht="14.25" customHeight="1" x14ac:dyDescent="0.35"/>
    <row r="59" spans="3:35" ht="14.25" customHeight="1" x14ac:dyDescent="0.35"/>
    <row r="60" spans="3:35" ht="14.25" customHeight="1" x14ac:dyDescent="0.35"/>
    <row r="61" spans="3:35" ht="14.25" customHeight="1" x14ac:dyDescent="0.35"/>
    <row r="62" spans="3:35" ht="14.25" customHeight="1" x14ac:dyDescent="0.35"/>
    <row r="63" spans="3:35" ht="14.25" customHeight="1" x14ac:dyDescent="0.35"/>
    <row r="64" spans="3:35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1">
    <dataValidation type="list" allowBlank="1" showErrorMessage="1" sqref="D7:AH13 D14:AI14 D15:AH46" xr:uid="{00000000-0002-0000-0000-000000000000}">
      <formula1>$AK$7:$AK$10</formula1>
    </dataValidation>
  </dataValidations>
  <pageMargins left="0.3" right="0.3" top="0.3" bottom="0.3" header="0" footer="0"/>
  <pageSetup paperSize="14"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998"/>
  <sheetViews>
    <sheetView workbookViewId="0">
      <selection sqref="A1:P1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9" width="5" hidden="1" customWidth="1"/>
    <col min="10" max="11" width="5" customWidth="1"/>
    <col min="12" max="16" width="5" hidden="1" customWidth="1"/>
    <col min="17" max="34" width="5" customWidth="1"/>
    <col min="35" max="37" width="8.7265625" customWidth="1"/>
    <col min="38" max="41" width="5.54296875" customWidth="1"/>
  </cols>
  <sheetData>
    <row r="1" spans="1:41" ht="14.25" customHeight="1" x14ac:dyDescent="0.35">
      <c r="A1" s="34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6" t="s">
        <v>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 t="s">
        <v>46</v>
      </c>
    </row>
    <row r="3" spans="1:41" ht="14.25" customHeight="1" x14ac:dyDescent="0.35">
      <c r="A3" s="4" t="s">
        <v>5</v>
      </c>
      <c r="B3" s="4"/>
      <c r="C3" s="4" t="str">
        <f>" : " &amp; IF(AJ2="","",AJ2)</f>
        <v xml:space="preserve"> : TKA</v>
      </c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6</v>
      </c>
      <c r="B4" s="4"/>
      <c r="C4" s="4" t="str">
        <f>IFERROR(" :  " &amp;VLOOKUP($A$7&amp;$AJ$2,#REF!,6,FALSE), "")</f>
        <v/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7" t="s">
        <v>7</v>
      </c>
      <c r="B5" s="39"/>
      <c r="C5" s="40" t="s">
        <v>8</v>
      </c>
      <c r="D5" s="37" t="s">
        <v>9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9"/>
    </row>
    <row r="6" spans="1:41" ht="14.25" customHeight="1" x14ac:dyDescent="0.35">
      <c r="A6" s="6" t="s">
        <v>10</v>
      </c>
      <c r="B6" s="6" t="s">
        <v>11</v>
      </c>
      <c r="C6" s="41"/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7" t="s">
        <v>47</v>
      </c>
      <c r="L6" s="7" t="s">
        <v>20</v>
      </c>
      <c r="M6" s="7" t="s">
        <v>21</v>
      </c>
      <c r="N6" s="7" t="s">
        <v>22</v>
      </c>
      <c r="O6" s="7" t="s">
        <v>23</v>
      </c>
      <c r="P6" s="7" t="s">
        <v>24</v>
      </c>
      <c r="Q6" s="7" t="s">
        <v>25</v>
      </c>
      <c r="R6" s="7" t="s">
        <v>26</v>
      </c>
      <c r="S6" s="7" t="s">
        <v>27</v>
      </c>
      <c r="T6" s="7" t="s">
        <v>28</v>
      </c>
      <c r="U6" s="7" t="s">
        <v>29</v>
      </c>
      <c r="V6" s="7" t="s">
        <v>30</v>
      </c>
      <c r="W6" s="7" t="s">
        <v>31</v>
      </c>
      <c r="X6" s="7" t="s">
        <v>32</v>
      </c>
      <c r="Y6" s="7" t="s">
        <v>33</v>
      </c>
      <c r="Z6" s="7" t="s">
        <v>34</v>
      </c>
      <c r="AA6" s="7" t="s">
        <v>35</v>
      </c>
      <c r="AB6" s="7" t="s">
        <v>36</v>
      </c>
      <c r="AC6" s="7" t="s">
        <v>37</v>
      </c>
      <c r="AD6" s="7" t="s">
        <v>38</v>
      </c>
      <c r="AE6" s="7" t="s">
        <v>39</v>
      </c>
      <c r="AF6" s="7" t="s">
        <v>40</v>
      </c>
      <c r="AG6" s="7" t="s">
        <v>41</v>
      </c>
      <c r="AH6" s="7" t="s">
        <v>42</v>
      </c>
      <c r="AL6" s="8" t="s">
        <v>1</v>
      </c>
      <c r="AM6" s="8" t="s">
        <v>3</v>
      </c>
      <c r="AN6" s="8" t="s">
        <v>43</v>
      </c>
      <c r="AO6" s="8" t="s">
        <v>44</v>
      </c>
    </row>
    <row r="7" spans="1:41" ht="12" customHeight="1" x14ac:dyDescent="0.35">
      <c r="A7" s="9">
        <v>1</v>
      </c>
      <c r="B7" s="10">
        <f>IFERROR(VLOOKUP(A7&amp;$AJ$2,Data!$A$2:$AM$131,3,FALSE), "")</f>
        <v>1505</v>
      </c>
      <c r="C7" s="11" t="str">
        <f>IFERROR(VLOOKUP(A7&amp;$AJ$2,Data!$A$2:$AM$131,4,FALSE), "")</f>
        <v>Aldrich Bona Munson Nababan</v>
      </c>
      <c r="D7" s="8" t="s">
        <v>1</v>
      </c>
      <c r="E7" s="8" t="s">
        <v>1</v>
      </c>
      <c r="F7" s="8"/>
      <c r="G7" s="8"/>
      <c r="H7" s="8"/>
      <c r="I7" s="8" t="s">
        <v>1</v>
      </c>
      <c r="J7" s="8" t="s">
        <v>1</v>
      </c>
      <c r="K7" s="8" t="s">
        <v>1</v>
      </c>
      <c r="L7" s="8" t="s">
        <v>1</v>
      </c>
      <c r="M7" s="8"/>
      <c r="N7" s="8"/>
      <c r="O7" s="8"/>
      <c r="P7" s="8" t="s">
        <v>1</v>
      </c>
      <c r="Q7" s="8" t="s">
        <v>1</v>
      </c>
      <c r="R7" s="8" t="s">
        <v>1</v>
      </c>
      <c r="S7" s="8" t="s">
        <v>1</v>
      </c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 t="s">
        <v>1</v>
      </c>
      <c r="AL7" s="8">
        <f t="shared" ref="AL7:AL46" si="0">COUNTIF(D7:AH7,"S")</f>
        <v>10</v>
      </c>
      <c r="AM7" s="8">
        <f t="shared" ref="AM7:AM46" si="1">COUNTIF(D7:AH7,"I")</f>
        <v>0</v>
      </c>
      <c r="AN7" s="8">
        <f t="shared" ref="AN7:AN46" si="2">COUNTIF(D7:AH7,"A")</f>
        <v>0</v>
      </c>
      <c r="AO7" s="8">
        <f t="shared" ref="AO7:AO46" si="3">SUM(AL7:AN7)</f>
        <v>10</v>
      </c>
    </row>
    <row r="8" spans="1:41" ht="12" customHeight="1" x14ac:dyDescent="0.35">
      <c r="A8" s="9">
        <v>2</v>
      </c>
      <c r="B8" s="10">
        <f>IFERROR(VLOOKUP(A8&amp;$AJ$2,Data!$A$2:$AM$131,3,FALSE), "")</f>
        <v>1506</v>
      </c>
      <c r="C8" s="11" t="str">
        <f>IFERROR(VLOOKUP(A8&amp;$AJ$2,Data!$A$2:$AM$131,4,FALSE), "")</f>
        <v>Azka Andreas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 t="s">
        <v>3</v>
      </c>
      <c r="AL8" s="8">
        <f t="shared" si="0"/>
        <v>0</v>
      </c>
      <c r="AM8" s="8">
        <f t="shared" si="1"/>
        <v>0</v>
      </c>
      <c r="AN8" s="8">
        <f t="shared" si="2"/>
        <v>0</v>
      </c>
      <c r="AO8" s="8">
        <f t="shared" si="3"/>
        <v>0</v>
      </c>
    </row>
    <row r="9" spans="1:41" ht="12" customHeight="1" x14ac:dyDescent="0.35">
      <c r="A9" s="9">
        <v>3</v>
      </c>
      <c r="B9" s="10">
        <f>IFERROR(VLOOKUP(A9&amp;$AJ$2,Data!$A$2:$AM$131,3,FALSE), "")</f>
        <v>1507</v>
      </c>
      <c r="C9" s="11" t="str">
        <f>IFERROR(VLOOKUP(A9&amp;$AJ$2,Data!$A$2:$AM$131,4,FALSE), "")</f>
        <v>Celine Grace Zhang</v>
      </c>
      <c r="D9" s="8"/>
      <c r="E9" s="8"/>
      <c r="F9" s="8"/>
      <c r="G9" s="8"/>
      <c r="H9" s="8"/>
      <c r="I9" s="8"/>
      <c r="J9" s="8"/>
      <c r="K9" s="8"/>
      <c r="L9" s="8" t="s">
        <v>1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 t="s">
        <v>43</v>
      </c>
      <c r="AL9" s="8">
        <f t="shared" si="0"/>
        <v>1</v>
      </c>
      <c r="AM9" s="8">
        <f t="shared" si="1"/>
        <v>0</v>
      </c>
      <c r="AN9" s="8">
        <f t="shared" si="2"/>
        <v>0</v>
      </c>
      <c r="AO9" s="8">
        <f t="shared" si="3"/>
        <v>1</v>
      </c>
    </row>
    <row r="10" spans="1:41" ht="12" customHeight="1" x14ac:dyDescent="0.35">
      <c r="A10" s="9">
        <v>4</v>
      </c>
      <c r="B10" s="10">
        <f>IFERROR(VLOOKUP(A10&amp;$AJ$2,Data!$A$2:$AM$131,3,FALSE), "")</f>
        <v>1508</v>
      </c>
      <c r="C10" s="11" t="str">
        <f>IFERROR(VLOOKUP(A10&amp;$AJ$2,Data!$A$2:$AM$131,4,FALSE), "")</f>
        <v>Clarence Queenicca Zhang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K10" s="3" t="s">
        <v>45</v>
      </c>
      <c r="AL10" s="8">
        <f t="shared" si="0"/>
        <v>0</v>
      </c>
      <c r="AM10" s="8">
        <f t="shared" si="1"/>
        <v>0</v>
      </c>
      <c r="AN10" s="8">
        <f t="shared" si="2"/>
        <v>0</v>
      </c>
      <c r="AO10" s="8">
        <f t="shared" si="3"/>
        <v>0</v>
      </c>
    </row>
    <row r="11" spans="1:41" ht="12" customHeight="1" x14ac:dyDescent="0.35">
      <c r="A11" s="9">
        <v>5</v>
      </c>
      <c r="B11" s="10">
        <f>IFERROR(VLOOKUP(A11&amp;$AJ$2,Data!$A$2:$AM$131,3,FALSE), "")</f>
        <v>1509</v>
      </c>
      <c r="C11" s="11" t="str">
        <f>IFERROR(VLOOKUP(A11&amp;$AJ$2,Data!$A$2:$AM$131,4,FALSE), "")</f>
        <v>Clarissa Jovanka Sugiharto</v>
      </c>
      <c r="D11" s="8" t="s">
        <v>3</v>
      </c>
      <c r="E11" s="8" t="s">
        <v>3</v>
      </c>
      <c r="F11" s="8"/>
      <c r="G11" s="8"/>
      <c r="H11" s="8"/>
      <c r="I11" s="8" t="s">
        <v>3</v>
      </c>
      <c r="J11" s="8" t="s">
        <v>3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>
        <f t="shared" si="0"/>
        <v>0</v>
      </c>
      <c r="AM11" s="8">
        <f t="shared" si="1"/>
        <v>4</v>
      </c>
      <c r="AN11" s="8">
        <f t="shared" si="2"/>
        <v>0</v>
      </c>
      <c r="AO11" s="8">
        <f t="shared" si="3"/>
        <v>4</v>
      </c>
    </row>
    <row r="12" spans="1:41" ht="12" customHeight="1" x14ac:dyDescent="0.35">
      <c r="A12" s="9">
        <v>6</v>
      </c>
      <c r="B12" s="10">
        <f>IFERROR(VLOOKUP(A12&amp;$AJ$2,Data!$A$2:$AM$131,3,FALSE), "")</f>
        <v>1510</v>
      </c>
      <c r="C12" s="11" t="str">
        <f>IFERROR(VLOOKUP(A12&amp;$AJ$2,Data!$A$2:$AM$131,4,FALSE), "")</f>
        <v>Clarissa Lim</v>
      </c>
      <c r="D12" s="8"/>
      <c r="E12" s="8" t="s">
        <v>45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L12" s="8">
        <f t="shared" si="0"/>
        <v>0</v>
      </c>
      <c r="AM12" s="8">
        <f t="shared" si="1"/>
        <v>0</v>
      </c>
      <c r="AN12" s="8">
        <f t="shared" si="2"/>
        <v>0</v>
      </c>
      <c r="AO12" s="8">
        <f t="shared" si="3"/>
        <v>0</v>
      </c>
    </row>
    <row r="13" spans="1:41" ht="12" customHeight="1" x14ac:dyDescent="0.35">
      <c r="A13" s="9">
        <v>7</v>
      </c>
      <c r="B13" s="10">
        <f>IFERROR(VLOOKUP(A13&amp;$AJ$2,Data!$A$2:$AM$131,3,FALSE), "")</f>
        <v>1511</v>
      </c>
      <c r="C13" s="11" t="str">
        <f>IFERROR(VLOOKUP(A13&amp;$AJ$2,Data!$A$2:$AM$131,4,FALSE), "")</f>
        <v>Clarita Olivia Sinaga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 t="s">
        <v>1</v>
      </c>
      <c r="Q13" s="8" t="s">
        <v>1</v>
      </c>
      <c r="R13" s="8" t="s">
        <v>1</v>
      </c>
      <c r="S13" s="8" t="s">
        <v>1</v>
      </c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>
        <f t="shared" si="0"/>
        <v>4</v>
      </c>
      <c r="AM13" s="8">
        <f t="shared" si="1"/>
        <v>0</v>
      </c>
      <c r="AN13" s="8">
        <f t="shared" si="2"/>
        <v>0</v>
      </c>
      <c r="AO13" s="8">
        <f t="shared" si="3"/>
        <v>4</v>
      </c>
    </row>
    <row r="14" spans="1:41" ht="12" customHeight="1" x14ac:dyDescent="0.35">
      <c r="A14" s="9">
        <v>8</v>
      </c>
      <c r="B14" s="10">
        <f>IFERROR(VLOOKUP(A14&amp;$AJ$2,Data!$A$2:$AM$131,3,FALSE), "")</f>
        <v>1512</v>
      </c>
      <c r="C14" s="11" t="str">
        <f>IFERROR(VLOOKUP(A14&amp;$AJ$2,Data!$A$2:$AM$131,4,FALSE), "")</f>
        <v>Coryn Aurora Zhan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>
        <f t="shared" si="0"/>
        <v>0</v>
      </c>
      <c r="AM14" s="8">
        <f t="shared" si="1"/>
        <v>0</v>
      </c>
      <c r="AN14" s="8">
        <f t="shared" si="2"/>
        <v>0</v>
      </c>
      <c r="AO14" s="8">
        <f t="shared" si="3"/>
        <v>0</v>
      </c>
    </row>
    <row r="15" spans="1:41" ht="12" customHeight="1" x14ac:dyDescent="0.35">
      <c r="A15" s="9">
        <v>9</v>
      </c>
      <c r="B15" s="10">
        <f>IFERROR(VLOOKUP(A15&amp;$AJ$2,Data!$A$2:$AM$131,3,FALSE), "")</f>
        <v>1513</v>
      </c>
      <c r="C15" s="11" t="str">
        <f>IFERROR(VLOOKUP(A15&amp;$AJ$2,Data!$A$2:$AM$131,4,FALSE), "")</f>
        <v>Darren Elvano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>
        <f t="shared" si="0"/>
        <v>0</v>
      </c>
      <c r="AM15" s="8">
        <f t="shared" si="1"/>
        <v>0</v>
      </c>
      <c r="AN15" s="8">
        <f t="shared" si="2"/>
        <v>0</v>
      </c>
      <c r="AO15" s="8">
        <f t="shared" si="3"/>
        <v>0</v>
      </c>
    </row>
    <row r="16" spans="1:41" ht="12" customHeight="1" x14ac:dyDescent="0.35">
      <c r="A16" s="9">
        <v>10</v>
      </c>
      <c r="B16" s="10">
        <f>IFERROR(VLOOKUP(A16&amp;$AJ$2,Data!$A$2:$AM$131,3,FALSE), "")</f>
        <v>1514</v>
      </c>
      <c r="C16" s="11" t="str">
        <f>IFERROR(VLOOKUP(A16&amp;$AJ$2,Data!$A$2:$AM$131,4,FALSE), "")</f>
        <v>Darren Tristan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>
        <f t="shared" si="0"/>
        <v>0</v>
      </c>
      <c r="AM16" s="8">
        <f t="shared" si="1"/>
        <v>0</v>
      </c>
      <c r="AN16" s="8">
        <f t="shared" si="2"/>
        <v>0</v>
      </c>
      <c r="AO16" s="8">
        <f t="shared" si="3"/>
        <v>0</v>
      </c>
    </row>
    <row r="17" spans="1:41" ht="12" customHeight="1" x14ac:dyDescent="0.35">
      <c r="A17" s="9">
        <v>11</v>
      </c>
      <c r="B17" s="10">
        <f>IFERROR(VLOOKUP(A17&amp;$AJ$2,Data!$A$2:$AM$131,3,FALSE), "")</f>
        <v>1515</v>
      </c>
      <c r="C17" s="11" t="str">
        <f>IFERROR(VLOOKUP(A17&amp;$AJ$2,Data!$A$2:$AM$131,4,FALSE), "")</f>
        <v>Davian Kenrick Lu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>
        <f t="shared" si="0"/>
        <v>0</v>
      </c>
      <c r="AM17" s="8">
        <f t="shared" si="1"/>
        <v>0</v>
      </c>
      <c r="AN17" s="8">
        <f t="shared" si="2"/>
        <v>0</v>
      </c>
      <c r="AO17" s="8">
        <f t="shared" si="3"/>
        <v>0</v>
      </c>
    </row>
    <row r="18" spans="1:41" ht="12" customHeight="1" x14ac:dyDescent="0.35">
      <c r="A18" s="9">
        <v>12</v>
      </c>
      <c r="B18" s="10">
        <f>IFERROR(VLOOKUP(A18&amp;$AJ$2,Data!$A$2:$AM$131,3,FALSE), "")</f>
        <v>1516</v>
      </c>
      <c r="C18" s="11" t="str">
        <f>IFERROR(VLOOKUP(A18&amp;$AJ$2,Data!$A$2:$AM$131,4,FALSE), "")</f>
        <v>Devan Ivander Siahaan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>
        <f t="shared" si="0"/>
        <v>0</v>
      </c>
      <c r="AM18" s="8">
        <f t="shared" si="1"/>
        <v>0</v>
      </c>
      <c r="AN18" s="8">
        <f t="shared" si="2"/>
        <v>0</v>
      </c>
      <c r="AO18" s="8">
        <f t="shared" si="3"/>
        <v>0</v>
      </c>
    </row>
    <row r="19" spans="1:41" ht="12" customHeight="1" x14ac:dyDescent="0.35">
      <c r="A19" s="9">
        <v>13</v>
      </c>
      <c r="B19" s="10">
        <f>IFERROR(VLOOKUP(A19&amp;$AJ$2,Data!$A$2:$AM$131,3,FALSE), "")</f>
        <v>1517</v>
      </c>
      <c r="C19" s="11" t="str">
        <f>IFERROR(VLOOKUP(A19&amp;$AJ$2,Data!$A$2:$AM$131,4,FALSE), "")</f>
        <v>Elsa Harianja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>
        <f t="shared" si="0"/>
        <v>0</v>
      </c>
      <c r="AM19" s="8">
        <f t="shared" si="1"/>
        <v>0</v>
      </c>
      <c r="AN19" s="8">
        <f t="shared" si="2"/>
        <v>0</v>
      </c>
      <c r="AO19" s="8">
        <f t="shared" si="3"/>
        <v>0</v>
      </c>
    </row>
    <row r="20" spans="1:41" ht="12" customHeight="1" x14ac:dyDescent="0.35">
      <c r="A20" s="9">
        <v>14</v>
      </c>
      <c r="B20" s="10">
        <f>IFERROR(VLOOKUP(A20&amp;$AJ$2,Data!$A$2:$AM$131,3,FALSE), "")</f>
        <v>1518</v>
      </c>
      <c r="C20" s="11" t="str">
        <f>IFERROR(VLOOKUP(A20&amp;$AJ$2,Data!$A$2:$AM$131,4,FALSE), "")</f>
        <v>Ferencia Lu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L20" s="8">
        <f t="shared" si="0"/>
        <v>0</v>
      </c>
      <c r="AM20" s="8">
        <f t="shared" si="1"/>
        <v>0</v>
      </c>
      <c r="AN20" s="8">
        <f t="shared" si="2"/>
        <v>0</v>
      </c>
      <c r="AO20" s="8">
        <f t="shared" si="3"/>
        <v>0</v>
      </c>
    </row>
    <row r="21" spans="1:41" ht="12" customHeight="1" x14ac:dyDescent="0.35">
      <c r="A21" s="9">
        <v>15</v>
      </c>
      <c r="B21" s="10">
        <f>IFERROR(VLOOKUP(A21&amp;$AJ$2,Data!$A$2:$AM$131,3,FALSE), "")</f>
        <v>1519</v>
      </c>
      <c r="C21" s="11" t="str">
        <f>IFERROR(VLOOKUP(A21&amp;$AJ$2,Data!$A$2:$AM$131,4,FALSE), "")</f>
        <v>Jemia Zhevano Yamresa Kembaren</v>
      </c>
      <c r="D21" s="8"/>
      <c r="E21" s="8"/>
      <c r="F21" s="8"/>
      <c r="G21" s="8"/>
      <c r="H21" s="8"/>
      <c r="I21" s="8"/>
      <c r="J21" s="8"/>
      <c r="K21" s="8"/>
      <c r="L21" s="8" t="s">
        <v>1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>
        <f t="shared" si="0"/>
        <v>1</v>
      </c>
      <c r="AM21" s="8">
        <f t="shared" si="1"/>
        <v>0</v>
      </c>
      <c r="AN21" s="8">
        <f t="shared" si="2"/>
        <v>0</v>
      </c>
      <c r="AO21" s="8">
        <f t="shared" si="3"/>
        <v>1</v>
      </c>
    </row>
    <row r="22" spans="1:41" ht="12" customHeight="1" x14ac:dyDescent="0.35">
      <c r="A22" s="9">
        <v>16</v>
      </c>
      <c r="B22" s="10">
        <f>IFERROR(VLOOKUP(A22&amp;$AJ$2,Data!$A$2:$AM$131,3,FALSE), "")</f>
        <v>1520</v>
      </c>
      <c r="C22" s="11" t="str">
        <f>IFERROR(VLOOKUP(A22&amp;$AJ$2,Data!$A$2:$AM$131,4,FALSE), "")</f>
        <v>Jocelyn Marcella Su</v>
      </c>
      <c r="D22" s="8"/>
      <c r="E22" s="8"/>
      <c r="F22" s="8"/>
      <c r="G22" s="8"/>
      <c r="H22" s="8"/>
      <c r="I22" s="8"/>
      <c r="J22" s="8" t="s">
        <v>45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>
        <f t="shared" si="0"/>
        <v>0</v>
      </c>
      <c r="AM22" s="8">
        <f t="shared" si="1"/>
        <v>0</v>
      </c>
      <c r="AN22" s="8">
        <f t="shared" si="2"/>
        <v>0</v>
      </c>
      <c r="AO22" s="8">
        <f t="shared" si="3"/>
        <v>0</v>
      </c>
    </row>
    <row r="23" spans="1:41" ht="12" customHeight="1" x14ac:dyDescent="0.35">
      <c r="A23" s="9">
        <v>17</v>
      </c>
      <c r="B23" s="10">
        <f>IFERROR(VLOOKUP(A23&amp;$AJ$2,Data!$A$2:$AM$131,3,FALSE), "")</f>
        <v>1521</v>
      </c>
      <c r="C23" s="11" t="str">
        <f>IFERROR(VLOOKUP(A23&amp;$AJ$2,Data!$A$2:$AM$131,4,FALSE), "")</f>
        <v>Joevanca Chesa Athalia</v>
      </c>
      <c r="D23" s="8"/>
      <c r="E23" s="8"/>
      <c r="F23" s="8"/>
      <c r="G23" s="8"/>
      <c r="H23" s="8"/>
      <c r="I23" s="8"/>
      <c r="J23" s="8" t="s">
        <v>3</v>
      </c>
      <c r="K23" s="8"/>
      <c r="L23" s="8"/>
      <c r="M23" s="8"/>
      <c r="N23" s="8"/>
      <c r="O23" s="8"/>
      <c r="P23" s="8" t="s">
        <v>1</v>
      </c>
      <c r="Q23" s="8" t="s">
        <v>1</v>
      </c>
      <c r="R23" s="8" t="s">
        <v>1</v>
      </c>
      <c r="S23" s="8" t="s">
        <v>1</v>
      </c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>
        <f t="shared" si="0"/>
        <v>4</v>
      </c>
      <c r="AM23" s="8">
        <f t="shared" si="1"/>
        <v>1</v>
      </c>
      <c r="AN23" s="8">
        <f t="shared" si="2"/>
        <v>0</v>
      </c>
      <c r="AO23" s="8">
        <f t="shared" si="3"/>
        <v>5</v>
      </c>
    </row>
    <row r="24" spans="1:41" ht="12" customHeight="1" x14ac:dyDescent="0.35">
      <c r="A24" s="9">
        <v>18</v>
      </c>
      <c r="B24" s="10">
        <f>IFERROR(VLOOKUP(A24&amp;$AJ$2,Data!$A$2:$AM$131,3,FALSE), "")</f>
        <v>1522</v>
      </c>
      <c r="C24" s="11" t="str">
        <f>IFERROR(VLOOKUP(A24&amp;$AJ$2,Data!$A$2:$AM$131,4,FALSE), "")</f>
        <v>Kayla Hosanna Charissa Sihombing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>
        <f t="shared" si="0"/>
        <v>0</v>
      </c>
      <c r="AM24" s="8">
        <f t="shared" si="1"/>
        <v>0</v>
      </c>
      <c r="AN24" s="8">
        <f t="shared" si="2"/>
        <v>0</v>
      </c>
      <c r="AO24" s="8">
        <f t="shared" si="3"/>
        <v>0</v>
      </c>
    </row>
    <row r="25" spans="1:41" ht="12" customHeight="1" x14ac:dyDescent="0.35">
      <c r="A25" s="9">
        <v>19</v>
      </c>
      <c r="B25" s="10">
        <f>IFERROR(VLOOKUP(A25&amp;$AJ$2,Data!$A$2:$AM$131,3,FALSE), "")</f>
        <v>1523</v>
      </c>
      <c r="C25" s="11" t="str">
        <f>IFERROR(VLOOKUP(A25&amp;$AJ$2,Data!$A$2:$AM$131,4,FALSE), "")</f>
        <v>Keilyn Queensha Ong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>
        <f t="shared" si="0"/>
        <v>0</v>
      </c>
      <c r="AM25" s="8">
        <f t="shared" si="1"/>
        <v>0</v>
      </c>
      <c r="AN25" s="8">
        <f t="shared" si="2"/>
        <v>0</v>
      </c>
      <c r="AO25" s="8">
        <f t="shared" si="3"/>
        <v>0</v>
      </c>
    </row>
    <row r="26" spans="1:41" ht="12" customHeight="1" x14ac:dyDescent="0.35">
      <c r="A26" s="9">
        <v>20</v>
      </c>
      <c r="B26" s="10">
        <f>IFERROR(VLOOKUP(A26&amp;$AJ$2,Data!$A$2:$AM$131,3,FALSE), "")</f>
        <v>1524</v>
      </c>
      <c r="C26" s="11" t="str">
        <f>IFERROR(VLOOKUP(A26&amp;$AJ$2,Data!$A$2:$AM$131,4,FALSE), "")</f>
        <v>Keyla Toshiro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>
        <f t="shared" si="0"/>
        <v>0</v>
      </c>
      <c r="AM26" s="8">
        <f t="shared" si="1"/>
        <v>0</v>
      </c>
      <c r="AN26" s="8">
        <f t="shared" si="2"/>
        <v>0</v>
      </c>
      <c r="AO26" s="8">
        <f t="shared" si="3"/>
        <v>0</v>
      </c>
    </row>
    <row r="27" spans="1:41" ht="12" customHeight="1" x14ac:dyDescent="0.35">
      <c r="A27" s="9">
        <v>21</v>
      </c>
      <c r="B27" s="10">
        <f>IFERROR(VLOOKUP(A27&amp;$AJ$2,Data!$A$2:$AM$131,3,FALSE), "")</f>
        <v>1525</v>
      </c>
      <c r="C27" s="11" t="str">
        <f>IFERROR(VLOOKUP(A27&amp;$AJ$2,Data!$A$2:$AM$131,4,FALSE), "")</f>
        <v>Liora Eliana Panjaitan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>
        <f t="shared" si="0"/>
        <v>0</v>
      </c>
      <c r="AM27" s="8">
        <f t="shared" si="1"/>
        <v>0</v>
      </c>
      <c r="AN27" s="8">
        <f t="shared" si="2"/>
        <v>0</v>
      </c>
      <c r="AO27" s="8">
        <f t="shared" si="3"/>
        <v>0</v>
      </c>
    </row>
    <row r="28" spans="1:41" ht="12" customHeight="1" x14ac:dyDescent="0.35">
      <c r="A28" s="9">
        <v>22</v>
      </c>
      <c r="B28" s="10">
        <f>IFERROR(VLOOKUP(A28&amp;$AJ$2,Data!$A$2:$AM$131,3,FALSE), "")</f>
        <v>1526</v>
      </c>
      <c r="C28" s="11" t="str">
        <f>IFERROR(VLOOKUP(A28&amp;$AJ$2,Data!$A$2:$AM$131,4,FALSE), "")</f>
        <v>Lishaalini Krisna Naidu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>
        <f t="shared" si="0"/>
        <v>0</v>
      </c>
      <c r="AM28" s="8">
        <f t="shared" si="1"/>
        <v>0</v>
      </c>
      <c r="AN28" s="8">
        <f t="shared" si="2"/>
        <v>0</v>
      </c>
      <c r="AO28" s="8">
        <f t="shared" si="3"/>
        <v>0</v>
      </c>
    </row>
    <row r="29" spans="1:41" ht="12" customHeight="1" x14ac:dyDescent="0.35">
      <c r="A29" s="9">
        <v>23</v>
      </c>
      <c r="B29" s="10">
        <f>IFERROR(VLOOKUP(A29&amp;$AJ$2,Data!$A$2:$AM$131,3,FALSE), "")</f>
        <v>1527</v>
      </c>
      <c r="C29" s="11" t="str">
        <f>IFERROR(VLOOKUP(A29&amp;$AJ$2,Data!$A$2:$AM$131,4,FALSE), "")</f>
        <v>Melviano Arentino Wijaya</v>
      </c>
      <c r="D29" s="8"/>
      <c r="E29" s="8"/>
      <c r="F29" s="8"/>
      <c r="G29" s="8"/>
      <c r="H29" s="8"/>
      <c r="I29" s="8"/>
      <c r="J29" s="8"/>
      <c r="K29" s="8" t="s">
        <v>1</v>
      </c>
      <c r="L29" s="8" t="s">
        <v>1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>
        <f t="shared" si="0"/>
        <v>2</v>
      </c>
      <c r="AM29" s="8">
        <f t="shared" si="1"/>
        <v>0</v>
      </c>
      <c r="AN29" s="8">
        <f t="shared" si="2"/>
        <v>0</v>
      </c>
      <c r="AO29" s="8">
        <f t="shared" si="3"/>
        <v>2</v>
      </c>
    </row>
    <row r="30" spans="1:41" ht="12" customHeight="1" x14ac:dyDescent="0.35">
      <c r="A30" s="9">
        <v>24</v>
      </c>
      <c r="B30" s="10">
        <f>IFERROR(VLOOKUP(A30&amp;$AJ$2,Data!$A$2:$AM$131,3,FALSE), "")</f>
        <v>1528</v>
      </c>
      <c r="C30" s="11" t="str">
        <f>IFERROR(VLOOKUP(A30&amp;$AJ$2,Data!$A$2:$AM$131,4,FALSE), "")</f>
        <v>Queenly Nathaniela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>
        <f t="shared" si="0"/>
        <v>0</v>
      </c>
      <c r="AM30" s="8">
        <f t="shared" si="1"/>
        <v>0</v>
      </c>
      <c r="AN30" s="8">
        <f t="shared" si="2"/>
        <v>0</v>
      </c>
      <c r="AO30" s="8">
        <f t="shared" si="3"/>
        <v>0</v>
      </c>
    </row>
    <row r="31" spans="1:41" ht="12" customHeight="1" x14ac:dyDescent="0.35">
      <c r="A31" s="9">
        <v>25</v>
      </c>
      <c r="B31" s="10">
        <f>IFERROR(VLOOKUP(A31&amp;$AJ$2,Data!$A$2:$AM$131,3,FALSE), "")</f>
        <v>1529</v>
      </c>
      <c r="C31" s="11" t="str">
        <f>IFERROR(VLOOKUP(A31&amp;$AJ$2,Data!$A$2:$AM$131,4,FALSE), "")</f>
        <v>Richelcia Wijaya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 t="s">
        <v>1</v>
      </c>
      <c r="Q31" s="8" t="s">
        <v>1</v>
      </c>
      <c r="R31" s="8" t="s">
        <v>1</v>
      </c>
      <c r="S31" s="8" t="s">
        <v>1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>
        <f t="shared" si="0"/>
        <v>4</v>
      </c>
      <c r="AM31" s="8">
        <f t="shared" si="1"/>
        <v>0</v>
      </c>
      <c r="AN31" s="8">
        <f t="shared" si="2"/>
        <v>0</v>
      </c>
      <c r="AO31" s="8">
        <f t="shared" si="3"/>
        <v>4</v>
      </c>
    </row>
    <row r="32" spans="1:41" ht="12" customHeight="1" x14ac:dyDescent="0.35">
      <c r="A32" s="9">
        <v>26</v>
      </c>
      <c r="B32" s="10">
        <f>IFERROR(VLOOKUP(A32&amp;$AJ$2,Data!$A$2:$AM$131,3,FALSE), "")</f>
        <v>1530</v>
      </c>
      <c r="C32" s="11" t="str">
        <f>IFERROR(VLOOKUP(A32&amp;$AJ$2,Data!$A$2:$AM$131,4,FALSE), "")</f>
        <v>Ricson Valenthino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>
        <f t="shared" si="0"/>
        <v>0</v>
      </c>
      <c r="AM32" s="8">
        <f t="shared" si="1"/>
        <v>0</v>
      </c>
      <c r="AN32" s="8">
        <f t="shared" si="2"/>
        <v>0</v>
      </c>
      <c r="AO32" s="8">
        <f t="shared" si="3"/>
        <v>0</v>
      </c>
    </row>
    <row r="33" spans="1:41" ht="12" customHeight="1" x14ac:dyDescent="0.35">
      <c r="A33" s="9">
        <v>27</v>
      </c>
      <c r="B33" s="10">
        <f>IFERROR(VLOOKUP(A33&amp;$AJ$2,Data!$A$2:$AM$131,3,FALSE), "")</f>
        <v>1531</v>
      </c>
      <c r="C33" s="11" t="str">
        <f>IFERROR(VLOOKUP(A33&amp;$AJ$2,Data!$A$2:$AM$131,4,FALSE), "")</f>
        <v>Rui Reynara Shen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>
        <f t="shared" si="0"/>
        <v>0</v>
      </c>
      <c r="AM33" s="8">
        <f t="shared" si="1"/>
        <v>0</v>
      </c>
      <c r="AN33" s="8">
        <f t="shared" si="2"/>
        <v>0</v>
      </c>
      <c r="AO33" s="8">
        <f t="shared" si="3"/>
        <v>0</v>
      </c>
    </row>
    <row r="34" spans="1:41" ht="12" customHeight="1" x14ac:dyDescent="0.35">
      <c r="A34" s="9">
        <v>28</v>
      </c>
      <c r="B34" s="10">
        <f>IFERROR(VLOOKUP(A34&amp;$AJ$2,Data!$A$2:$AM$131,3,FALSE), "")</f>
        <v>1532</v>
      </c>
      <c r="C34" s="11" t="str">
        <f>IFERROR(VLOOKUP(A34&amp;$AJ$2,Data!$A$2:$AM$131,4,FALSE), "")</f>
        <v>Shane Michael Lienardie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>
        <f t="shared" si="0"/>
        <v>0</v>
      </c>
      <c r="AM34" s="8">
        <f t="shared" si="1"/>
        <v>0</v>
      </c>
      <c r="AN34" s="8">
        <f t="shared" si="2"/>
        <v>0</v>
      </c>
      <c r="AO34" s="8">
        <f t="shared" si="3"/>
        <v>0</v>
      </c>
    </row>
    <row r="35" spans="1:41" ht="12" customHeight="1" x14ac:dyDescent="0.35">
      <c r="A35" s="9">
        <v>29</v>
      </c>
      <c r="B35" s="10">
        <f>IFERROR(VLOOKUP(A35&amp;$AJ$2,Data!$A$2:$AM$131,3,FALSE), "")</f>
        <v>1533</v>
      </c>
      <c r="C35" s="11" t="str">
        <f>IFERROR(VLOOKUP(A35&amp;$AJ$2,Data!$A$2:$AM$131,4,FALSE), "")</f>
        <v>Shelomitha Eliora Simanjuntak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>
        <f t="shared" si="0"/>
        <v>0</v>
      </c>
      <c r="AM35" s="8">
        <f t="shared" si="1"/>
        <v>0</v>
      </c>
      <c r="AN35" s="8">
        <f t="shared" si="2"/>
        <v>0</v>
      </c>
      <c r="AO35" s="8">
        <f t="shared" si="3"/>
        <v>0</v>
      </c>
    </row>
    <row r="36" spans="1:41" ht="12" customHeight="1" x14ac:dyDescent="0.35">
      <c r="A36" s="9">
        <v>30</v>
      </c>
      <c r="B36" s="10">
        <f>IFERROR(VLOOKUP(A36&amp;$AJ$2,Data!$A$2:$AM$131,3,FALSE), "")</f>
        <v>1534</v>
      </c>
      <c r="C36" s="11" t="str">
        <f>IFERROR(VLOOKUP(A36&amp;$AJ$2,Data!$A$2:$AM$131,4,FALSE), "")</f>
        <v>Willian Geoffrey Utama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>
        <f t="shared" si="0"/>
        <v>0</v>
      </c>
      <c r="AM36" s="8">
        <f t="shared" si="1"/>
        <v>0</v>
      </c>
      <c r="AN36" s="8">
        <f t="shared" si="2"/>
        <v>0</v>
      </c>
      <c r="AO36" s="8">
        <f t="shared" si="3"/>
        <v>0</v>
      </c>
    </row>
    <row r="37" spans="1:41" ht="12" customHeight="1" x14ac:dyDescent="0.35">
      <c r="A37" s="9">
        <v>31</v>
      </c>
      <c r="B37" s="10" t="str">
        <f>IFERROR(VLOOKUP(A37&amp;$AJ$2,Data!$A$2:$AM$131,3,FALSE), "")</f>
        <v/>
      </c>
      <c r="C37" s="11" t="str">
        <f>IFERROR(VLOOKUP(A37&amp;$AJ$2,Data!$A$2:$AM$131,4,FALSE), "")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>
        <f t="shared" si="0"/>
        <v>0</v>
      </c>
      <c r="AM37" s="8">
        <f t="shared" si="1"/>
        <v>0</v>
      </c>
      <c r="AN37" s="8">
        <f t="shared" si="2"/>
        <v>0</v>
      </c>
      <c r="AO37" s="8">
        <f t="shared" si="3"/>
        <v>0</v>
      </c>
    </row>
    <row r="38" spans="1:41" ht="12" customHeight="1" x14ac:dyDescent="0.35">
      <c r="A38" s="9">
        <v>32</v>
      </c>
      <c r="B38" s="10" t="str">
        <f>IFERROR(VLOOKUP(A38&amp;$AJ$2,Data!$A$2:$AM$131,3,FALSE), "")</f>
        <v/>
      </c>
      <c r="C38" s="11" t="str">
        <f>IFERROR(VLOOKUP(A38&amp;$AJ$2,Data!$A$2:$AM$131,4,FALSE), "")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>
        <f t="shared" si="0"/>
        <v>0</v>
      </c>
      <c r="AM38" s="8">
        <f t="shared" si="1"/>
        <v>0</v>
      </c>
      <c r="AN38" s="8">
        <f t="shared" si="2"/>
        <v>0</v>
      </c>
      <c r="AO38" s="8">
        <f t="shared" si="3"/>
        <v>0</v>
      </c>
    </row>
    <row r="39" spans="1:41" ht="12" customHeight="1" x14ac:dyDescent="0.35">
      <c r="A39" s="9">
        <v>33</v>
      </c>
      <c r="B39" s="10" t="str">
        <f>IFERROR(VLOOKUP(A39&amp;$AJ$2,Data!$A$2:$AM$131,3,FALSE), "")</f>
        <v/>
      </c>
      <c r="C39" s="11" t="str">
        <f>IFERROR(VLOOKUP(A39&amp;$AJ$2,Data!$A$2:$AM$131,4,FALSE), "")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>
        <f t="shared" si="0"/>
        <v>0</v>
      </c>
      <c r="AM39" s="8">
        <f t="shared" si="1"/>
        <v>0</v>
      </c>
      <c r="AN39" s="8">
        <f t="shared" si="2"/>
        <v>0</v>
      </c>
      <c r="AO39" s="8">
        <f t="shared" si="3"/>
        <v>0</v>
      </c>
    </row>
    <row r="40" spans="1:41" ht="12" customHeight="1" x14ac:dyDescent="0.35">
      <c r="A40" s="9">
        <v>34</v>
      </c>
      <c r="B40" s="10" t="str">
        <f>IFERROR(VLOOKUP(A40&amp;$AJ$2,Data!$A$2:$AM$131,3,FALSE), "")</f>
        <v/>
      </c>
      <c r="C40" s="11" t="str">
        <f>IFERROR(VLOOKUP(A40&amp;$AJ$2,Data!$A$2:$AM$131,4,FALSE), "")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>
        <f t="shared" si="0"/>
        <v>0</v>
      </c>
      <c r="AM40" s="8">
        <f t="shared" si="1"/>
        <v>0</v>
      </c>
      <c r="AN40" s="8">
        <f t="shared" si="2"/>
        <v>0</v>
      </c>
      <c r="AO40" s="8">
        <f t="shared" si="3"/>
        <v>0</v>
      </c>
    </row>
    <row r="41" spans="1:41" ht="12" customHeight="1" x14ac:dyDescent="0.35">
      <c r="A41" s="9">
        <v>35</v>
      </c>
      <c r="B41" s="10" t="str">
        <f>IFERROR(VLOOKUP(A41&amp;$AJ$2,Data!$A$2:$AM$131,3,FALSE), "")</f>
        <v/>
      </c>
      <c r="C41" s="11" t="str">
        <f>IFERROR(VLOOKUP(A41&amp;$AJ$2,Data!$A$2:$AM$131,4,FALSE), "")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>
        <f t="shared" si="0"/>
        <v>0</v>
      </c>
      <c r="AM41" s="8">
        <f t="shared" si="1"/>
        <v>0</v>
      </c>
      <c r="AN41" s="8">
        <f t="shared" si="2"/>
        <v>0</v>
      </c>
      <c r="AO41" s="8">
        <f t="shared" si="3"/>
        <v>0</v>
      </c>
    </row>
    <row r="42" spans="1:41" ht="12" customHeight="1" x14ac:dyDescent="0.35">
      <c r="A42" s="9">
        <v>36</v>
      </c>
      <c r="B42" s="10" t="str">
        <f>IFERROR(VLOOKUP(A42&amp;$AJ$2,Data!$A$2:$AM$131,3,FALSE), "")</f>
        <v/>
      </c>
      <c r="C42" s="11" t="str">
        <f>IFERROR(VLOOKUP(A42&amp;$AJ$2,Data!$A$2:$AM$131,4,FALSE), "")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>
        <f t="shared" si="0"/>
        <v>0</v>
      </c>
      <c r="AM42" s="8">
        <f t="shared" si="1"/>
        <v>0</v>
      </c>
      <c r="AN42" s="8">
        <f t="shared" si="2"/>
        <v>0</v>
      </c>
      <c r="AO42" s="8">
        <f t="shared" si="3"/>
        <v>0</v>
      </c>
    </row>
    <row r="43" spans="1:41" ht="14.25" customHeight="1" x14ac:dyDescent="0.35">
      <c r="A43" s="9">
        <v>37</v>
      </c>
      <c r="B43" s="10" t="str">
        <f>IFERROR(VLOOKUP(A43&amp;$AJ$2,Data!$A$2:$AM$131,3,FALSE), "")</f>
        <v/>
      </c>
      <c r="C43" s="11" t="str">
        <f>IFERROR(VLOOKUP(A43&amp;$AJ$2,Data!$A$2:$AM$131,4,FALSE), "")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>
        <f t="shared" si="0"/>
        <v>0</v>
      </c>
      <c r="AM43" s="8">
        <f t="shared" si="1"/>
        <v>0</v>
      </c>
      <c r="AN43" s="8">
        <f t="shared" si="2"/>
        <v>0</v>
      </c>
      <c r="AO43" s="8">
        <f t="shared" si="3"/>
        <v>0</v>
      </c>
    </row>
    <row r="44" spans="1:41" ht="14.25" customHeight="1" x14ac:dyDescent="0.35">
      <c r="A44" s="9">
        <v>38</v>
      </c>
      <c r="B44" s="10" t="str">
        <f>IFERROR(VLOOKUP(A44&amp;$AJ$2,Data!$A$2:$AM$131,3,FALSE), "")</f>
        <v/>
      </c>
      <c r="C44" s="11" t="str">
        <f>IFERROR(VLOOKUP(A44&amp;$AJ$2,Data!$A$2:$AM$131,4,FALSE), "")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>
        <f t="shared" si="0"/>
        <v>0</v>
      </c>
      <c r="AM44" s="8">
        <f t="shared" si="1"/>
        <v>0</v>
      </c>
      <c r="AN44" s="8">
        <f t="shared" si="2"/>
        <v>0</v>
      </c>
      <c r="AO44" s="8">
        <f t="shared" si="3"/>
        <v>0</v>
      </c>
    </row>
    <row r="45" spans="1:41" ht="14.25" customHeight="1" x14ac:dyDescent="0.35">
      <c r="A45" s="9">
        <v>39</v>
      </c>
      <c r="B45" s="10" t="str">
        <f>IFERROR(VLOOKUP(A45&amp;$AJ$2,Data!$A$2:$AM$131,3,FALSE), "")</f>
        <v/>
      </c>
      <c r="C45" s="11" t="str">
        <f>IFERROR(VLOOKUP(A45&amp;$AJ$2,Data!$A$2:$AM$131,4,FALSE), "")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>
        <f t="shared" si="0"/>
        <v>0</v>
      </c>
      <c r="AM45" s="8">
        <f t="shared" si="1"/>
        <v>0</v>
      </c>
      <c r="AN45" s="8">
        <f t="shared" si="2"/>
        <v>0</v>
      </c>
      <c r="AO45" s="8">
        <f t="shared" si="3"/>
        <v>0</v>
      </c>
    </row>
    <row r="46" spans="1:41" ht="14.25" customHeight="1" x14ac:dyDescent="0.35">
      <c r="A46" s="9">
        <v>40</v>
      </c>
      <c r="B46" s="10" t="str">
        <f>IFERROR(VLOOKUP(A46&amp;$AJ$2,Data!$A$2:$AM$131,3,FALSE), "")</f>
        <v/>
      </c>
      <c r="C46" s="11" t="str">
        <f>IFERROR(VLOOKUP(A46&amp;$AJ$2,Data!$A$2:$AM$131,4,FALSE), "")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>
        <f t="shared" si="0"/>
        <v>0</v>
      </c>
      <c r="AM46" s="8">
        <f t="shared" si="1"/>
        <v>0</v>
      </c>
      <c r="AN46" s="8">
        <f t="shared" si="2"/>
        <v>0</v>
      </c>
      <c r="AO46" s="8">
        <f t="shared" si="3"/>
        <v>0</v>
      </c>
    </row>
    <row r="47" spans="1:41" ht="14.25" customHeight="1" x14ac:dyDescent="0.35"/>
    <row r="48" spans="1:41" ht="14.25" customHeight="1" x14ac:dyDescent="0.35"/>
    <row r="49" spans="3:34" ht="14.25" customHeight="1" x14ac:dyDescent="0.35">
      <c r="C49" s="3" t="s">
        <v>1</v>
      </c>
      <c r="D49" s="15">
        <f t="shared" ref="D49:AH49" si="4">COUNTIF(D7:D47,"S")</f>
        <v>1</v>
      </c>
      <c r="E49" s="15">
        <f t="shared" si="4"/>
        <v>1</v>
      </c>
      <c r="F49" s="15">
        <f t="shared" si="4"/>
        <v>0</v>
      </c>
      <c r="G49" s="15">
        <f t="shared" si="4"/>
        <v>0</v>
      </c>
      <c r="H49" s="15">
        <f t="shared" si="4"/>
        <v>0</v>
      </c>
      <c r="I49" s="15">
        <f t="shared" si="4"/>
        <v>1</v>
      </c>
      <c r="J49" s="15">
        <f t="shared" si="4"/>
        <v>1</v>
      </c>
      <c r="K49" s="15">
        <f t="shared" si="4"/>
        <v>2</v>
      </c>
      <c r="L49" s="15">
        <f t="shared" si="4"/>
        <v>4</v>
      </c>
      <c r="M49" s="15">
        <f t="shared" si="4"/>
        <v>0</v>
      </c>
      <c r="N49" s="15">
        <f t="shared" si="4"/>
        <v>0</v>
      </c>
      <c r="O49" s="15">
        <f t="shared" si="4"/>
        <v>0</v>
      </c>
      <c r="P49" s="15">
        <f t="shared" si="4"/>
        <v>4</v>
      </c>
      <c r="Q49" s="15">
        <f t="shared" si="4"/>
        <v>4</v>
      </c>
      <c r="R49" s="15">
        <f t="shared" si="4"/>
        <v>4</v>
      </c>
      <c r="S49" s="15">
        <f t="shared" si="4"/>
        <v>4</v>
      </c>
      <c r="T49" s="15">
        <f t="shared" si="4"/>
        <v>0</v>
      </c>
      <c r="U49" s="15">
        <f t="shared" si="4"/>
        <v>0</v>
      </c>
      <c r="V49" s="15">
        <f t="shared" si="4"/>
        <v>0</v>
      </c>
      <c r="W49" s="15">
        <f t="shared" si="4"/>
        <v>0</v>
      </c>
      <c r="X49" s="15">
        <f t="shared" si="4"/>
        <v>0</v>
      </c>
      <c r="Y49" s="15">
        <f t="shared" si="4"/>
        <v>0</v>
      </c>
      <c r="Z49" s="15">
        <f t="shared" si="4"/>
        <v>0</v>
      </c>
      <c r="AA49" s="15">
        <f t="shared" si="4"/>
        <v>0</v>
      </c>
      <c r="AB49" s="15">
        <f t="shared" si="4"/>
        <v>0</v>
      </c>
      <c r="AC49" s="15">
        <f t="shared" si="4"/>
        <v>0</v>
      </c>
      <c r="AD49" s="15">
        <f t="shared" si="4"/>
        <v>0</v>
      </c>
      <c r="AE49" s="15">
        <f t="shared" si="4"/>
        <v>0</v>
      </c>
      <c r="AF49" s="15">
        <f t="shared" si="4"/>
        <v>0</v>
      </c>
      <c r="AG49" s="15">
        <f t="shared" si="4"/>
        <v>0</v>
      </c>
      <c r="AH49" s="15">
        <f t="shared" si="4"/>
        <v>0</v>
      </c>
    </row>
    <row r="50" spans="3:34" ht="14.25" customHeight="1" x14ac:dyDescent="0.35">
      <c r="C50" s="3" t="s">
        <v>3</v>
      </c>
      <c r="D50" s="15">
        <f t="shared" ref="D50:AH50" si="5">COUNTIF(D7:D47,"I")</f>
        <v>1</v>
      </c>
      <c r="E50" s="15">
        <f t="shared" si="5"/>
        <v>1</v>
      </c>
      <c r="F50" s="15">
        <f t="shared" si="5"/>
        <v>0</v>
      </c>
      <c r="G50" s="15">
        <f t="shared" si="5"/>
        <v>0</v>
      </c>
      <c r="H50" s="15">
        <f t="shared" si="5"/>
        <v>0</v>
      </c>
      <c r="I50" s="15">
        <f t="shared" si="5"/>
        <v>1</v>
      </c>
      <c r="J50" s="15">
        <f t="shared" si="5"/>
        <v>2</v>
      </c>
      <c r="K50" s="15">
        <f t="shared" si="5"/>
        <v>0</v>
      </c>
      <c r="L50" s="15">
        <f t="shared" si="5"/>
        <v>0</v>
      </c>
      <c r="M50" s="15">
        <f t="shared" si="5"/>
        <v>0</v>
      </c>
      <c r="N50" s="15">
        <f t="shared" si="5"/>
        <v>0</v>
      </c>
      <c r="O50" s="15">
        <f t="shared" si="5"/>
        <v>0</v>
      </c>
      <c r="P50" s="15">
        <f t="shared" si="5"/>
        <v>0</v>
      </c>
      <c r="Q50" s="15">
        <f t="shared" si="5"/>
        <v>0</v>
      </c>
      <c r="R50" s="15">
        <f t="shared" si="5"/>
        <v>0</v>
      </c>
      <c r="S50" s="15">
        <f t="shared" si="5"/>
        <v>0</v>
      </c>
      <c r="T50" s="15">
        <f t="shared" si="5"/>
        <v>0</v>
      </c>
      <c r="U50" s="15">
        <f t="shared" si="5"/>
        <v>0</v>
      </c>
      <c r="V50" s="15">
        <f t="shared" si="5"/>
        <v>0</v>
      </c>
      <c r="W50" s="15">
        <f t="shared" si="5"/>
        <v>0</v>
      </c>
      <c r="X50" s="15">
        <f t="shared" si="5"/>
        <v>0</v>
      </c>
      <c r="Y50" s="15">
        <f t="shared" si="5"/>
        <v>0</v>
      </c>
      <c r="Z50" s="15">
        <f t="shared" si="5"/>
        <v>0</v>
      </c>
      <c r="AA50" s="15">
        <f t="shared" si="5"/>
        <v>0</v>
      </c>
      <c r="AB50" s="15">
        <f t="shared" si="5"/>
        <v>0</v>
      </c>
      <c r="AC50" s="15">
        <f t="shared" si="5"/>
        <v>0</v>
      </c>
      <c r="AD50" s="15">
        <f t="shared" si="5"/>
        <v>0</v>
      </c>
      <c r="AE50" s="15">
        <f t="shared" si="5"/>
        <v>0</v>
      </c>
      <c r="AF50" s="15">
        <f t="shared" si="5"/>
        <v>0</v>
      </c>
      <c r="AG50" s="15">
        <f t="shared" si="5"/>
        <v>0</v>
      </c>
      <c r="AH50" s="15">
        <f t="shared" si="5"/>
        <v>0</v>
      </c>
    </row>
    <row r="51" spans="3:34" ht="14.25" customHeight="1" x14ac:dyDescent="0.35">
      <c r="C51" s="3" t="s">
        <v>43</v>
      </c>
      <c r="D51" s="15">
        <f t="shared" ref="D51:AH51" si="6">COUNTIF(D7:D47,"A")</f>
        <v>0</v>
      </c>
      <c r="E51" s="15">
        <f t="shared" si="6"/>
        <v>0</v>
      </c>
      <c r="F51" s="15">
        <f t="shared" si="6"/>
        <v>0</v>
      </c>
      <c r="G51" s="15">
        <f t="shared" si="6"/>
        <v>0</v>
      </c>
      <c r="H51" s="15">
        <f t="shared" si="6"/>
        <v>0</v>
      </c>
      <c r="I51" s="15">
        <f t="shared" si="6"/>
        <v>0</v>
      </c>
      <c r="J51" s="15">
        <f t="shared" si="6"/>
        <v>0</v>
      </c>
      <c r="K51" s="15">
        <f t="shared" si="6"/>
        <v>0</v>
      </c>
      <c r="L51" s="15">
        <f t="shared" si="6"/>
        <v>0</v>
      </c>
      <c r="M51" s="15">
        <f t="shared" si="6"/>
        <v>0</v>
      </c>
      <c r="N51" s="15">
        <f t="shared" si="6"/>
        <v>0</v>
      </c>
      <c r="O51" s="15">
        <f t="shared" si="6"/>
        <v>0</v>
      </c>
      <c r="P51" s="15">
        <f t="shared" si="6"/>
        <v>0</v>
      </c>
      <c r="Q51" s="15">
        <f t="shared" si="6"/>
        <v>0</v>
      </c>
      <c r="R51" s="15">
        <f t="shared" si="6"/>
        <v>0</v>
      </c>
      <c r="S51" s="15">
        <f t="shared" si="6"/>
        <v>0</v>
      </c>
      <c r="T51" s="15">
        <f t="shared" si="6"/>
        <v>0</v>
      </c>
      <c r="U51" s="15">
        <f t="shared" si="6"/>
        <v>0</v>
      </c>
      <c r="V51" s="15">
        <f t="shared" si="6"/>
        <v>0</v>
      </c>
      <c r="W51" s="15">
        <f t="shared" si="6"/>
        <v>0</v>
      </c>
      <c r="X51" s="15">
        <f t="shared" si="6"/>
        <v>0</v>
      </c>
      <c r="Y51" s="15">
        <f t="shared" si="6"/>
        <v>0</v>
      </c>
      <c r="Z51" s="15">
        <f t="shared" si="6"/>
        <v>0</v>
      </c>
      <c r="AA51" s="15">
        <f t="shared" si="6"/>
        <v>0</v>
      </c>
      <c r="AB51" s="15">
        <f t="shared" si="6"/>
        <v>0</v>
      </c>
      <c r="AC51" s="15">
        <f t="shared" si="6"/>
        <v>0</v>
      </c>
      <c r="AD51" s="15">
        <f t="shared" si="6"/>
        <v>0</v>
      </c>
      <c r="AE51" s="15">
        <f t="shared" si="6"/>
        <v>0</v>
      </c>
      <c r="AF51" s="15">
        <f t="shared" si="6"/>
        <v>0</v>
      </c>
      <c r="AG51" s="15">
        <f t="shared" si="6"/>
        <v>0</v>
      </c>
      <c r="AH51" s="15">
        <f t="shared" si="6"/>
        <v>0</v>
      </c>
    </row>
    <row r="52" spans="3:34" ht="14.25" customHeight="1" x14ac:dyDescent="0.35"/>
    <row r="53" spans="3:34" ht="14.25" customHeight="1" x14ac:dyDescent="0.35"/>
    <row r="54" spans="3:34" ht="14.25" customHeight="1" x14ac:dyDescent="0.35"/>
    <row r="55" spans="3:34" ht="14.25" customHeight="1" x14ac:dyDescent="0.35"/>
    <row r="56" spans="3:34" ht="14.25" customHeight="1" x14ac:dyDescent="0.35"/>
    <row r="57" spans="3:34" ht="14.25" customHeight="1" x14ac:dyDescent="0.35"/>
    <row r="58" spans="3:34" ht="14.25" customHeight="1" x14ac:dyDescent="0.35"/>
    <row r="59" spans="3:34" ht="14.25" customHeight="1" x14ac:dyDescent="0.35"/>
    <row r="60" spans="3:34" ht="14.25" customHeight="1" x14ac:dyDescent="0.35"/>
    <row r="61" spans="3:34" ht="14.25" customHeight="1" x14ac:dyDescent="0.35"/>
    <row r="62" spans="3:34" ht="14.25" customHeight="1" x14ac:dyDescent="0.35"/>
    <row r="63" spans="3:34" ht="14.25" customHeight="1" x14ac:dyDescent="0.35"/>
    <row r="64" spans="3:3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2">
    <dataValidation type="list" allowBlank="1" showErrorMessage="1" sqref="E7:AH46" xr:uid="{00000000-0002-0000-0100-000000000000}">
      <formula1>$AK$7:$AK$10</formula1>
    </dataValidation>
    <dataValidation type="list" allowBlank="1" showErrorMessage="1" sqref="D7:D46" xr:uid="{00000000-0002-0000-0100-000001000000}">
      <formula1>$AK$7:$AK$9</formula1>
    </dataValidation>
  </dataValidations>
  <pageMargins left="0.3" right="0.3" top="0.3" bottom="0.3" header="0" footer="0"/>
  <pageSetup paperSize="14"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998"/>
  <sheetViews>
    <sheetView workbookViewId="0">
      <selection activeCell="S2" sqref="S2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9" width="5" hidden="1" customWidth="1"/>
    <col min="10" max="10" width="5" customWidth="1"/>
    <col min="11" max="16" width="5" hidden="1" customWidth="1"/>
    <col min="17" max="34" width="5" customWidth="1"/>
    <col min="35" max="37" width="8.7265625" hidden="1" customWidth="1"/>
    <col min="38" max="41" width="5.54296875" customWidth="1"/>
  </cols>
  <sheetData>
    <row r="1" spans="1:41" ht="14.25" customHeight="1" x14ac:dyDescent="0.35">
      <c r="A1" s="34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1"/>
      <c r="R1" s="1"/>
      <c r="S1" s="1">
        <v>0</v>
      </c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6" t="s">
        <v>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 t="s">
        <v>48</v>
      </c>
    </row>
    <row r="3" spans="1:41" ht="14.25" customHeight="1" x14ac:dyDescent="0.35">
      <c r="A3" s="4" t="s">
        <v>5</v>
      </c>
      <c r="B3" s="4"/>
      <c r="C3" s="4" t="str">
        <f>" : " &amp; IF(AJ2="","",AJ2)</f>
        <v xml:space="preserve"> : TKB1</v>
      </c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6</v>
      </c>
      <c r="B4" s="4"/>
      <c r="C4" s="4" t="str">
        <f>IFERROR(" :  " &amp;VLOOKUP($A$7&amp;$AJ$2,#REF!,6,FALSE), "")</f>
        <v/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7" t="s">
        <v>7</v>
      </c>
      <c r="B5" s="39"/>
      <c r="C5" s="40" t="s">
        <v>8</v>
      </c>
      <c r="D5" s="37" t="s">
        <v>9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9"/>
    </row>
    <row r="6" spans="1:41" ht="14.25" customHeight="1" x14ac:dyDescent="0.35">
      <c r="A6" s="6" t="s">
        <v>10</v>
      </c>
      <c r="B6" s="6" t="s">
        <v>11</v>
      </c>
      <c r="C6" s="41"/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47</v>
      </c>
      <c r="K6" s="7" t="s">
        <v>19</v>
      </c>
      <c r="L6" s="7" t="s">
        <v>20</v>
      </c>
      <c r="M6" s="7" t="s">
        <v>21</v>
      </c>
      <c r="N6" s="7" t="s">
        <v>22</v>
      </c>
      <c r="O6" s="7" t="s">
        <v>23</v>
      </c>
      <c r="P6" s="7" t="s">
        <v>24</v>
      </c>
      <c r="Q6" s="7" t="s">
        <v>25</v>
      </c>
      <c r="R6" s="7" t="s">
        <v>26</v>
      </c>
      <c r="S6" s="7" t="s">
        <v>27</v>
      </c>
      <c r="T6" s="7" t="s">
        <v>28</v>
      </c>
      <c r="U6" s="7" t="s">
        <v>29</v>
      </c>
      <c r="V6" s="7" t="s">
        <v>30</v>
      </c>
      <c r="W6" s="7" t="s">
        <v>31</v>
      </c>
      <c r="X6" s="7" t="s">
        <v>32</v>
      </c>
      <c r="Y6" s="7" t="s">
        <v>33</v>
      </c>
      <c r="Z6" s="7" t="s">
        <v>34</v>
      </c>
      <c r="AA6" s="7" t="s">
        <v>35</v>
      </c>
      <c r="AB6" s="7" t="s">
        <v>36</v>
      </c>
      <c r="AC6" s="7" t="s">
        <v>37</v>
      </c>
      <c r="AD6" s="7" t="s">
        <v>38</v>
      </c>
      <c r="AE6" s="7" t="s">
        <v>39</v>
      </c>
      <c r="AF6" s="7" t="s">
        <v>40</v>
      </c>
      <c r="AG6" s="7" t="s">
        <v>41</v>
      </c>
      <c r="AH6" s="7" t="s">
        <v>42</v>
      </c>
      <c r="AL6" s="8" t="s">
        <v>1</v>
      </c>
      <c r="AM6" s="8" t="s">
        <v>3</v>
      </c>
      <c r="AN6" s="8" t="s">
        <v>43</v>
      </c>
      <c r="AO6" s="8" t="s">
        <v>44</v>
      </c>
    </row>
    <row r="7" spans="1:41" ht="12" customHeight="1" x14ac:dyDescent="0.35">
      <c r="A7" s="9">
        <v>1</v>
      </c>
      <c r="B7" s="10">
        <f>IFERROR(VLOOKUP(A7&amp;$AJ$2,Data!$A$2:$AM$131,3,FALSE), "")</f>
        <v>1439</v>
      </c>
      <c r="C7" s="11" t="str">
        <f>IFERROR(VLOOKUP(A7&amp;$AJ$2,Data!$A$2:$AM$131,4,FALSE), "")</f>
        <v>Kyla Nathania Chang</v>
      </c>
      <c r="D7" s="8" t="s">
        <v>3</v>
      </c>
      <c r="E7" s="8" t="s">
        <v>3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 t="s">
        <v>1</v>
      </c>
      <c r="AL7" s="8">
        <f t="shared" ref="AL7:AL46" si="0">COUNTIF(D7:AH7,"S")</f>
        <v>0</v>
      </c>
      <c r="AM7" s="8">
        <f t="shared" ref="AM7:AM46" si="1">COUNTIF(D7:AH7,"I")</f>
        <v>2</v>
      </c>
      <c r="AN7" s="8">
        <f t="shared" ref="AN7:AN46" si="2">COUNTIF(D7:AH7,"A")</f>
        <v>0</v>
      </c>
      <c r="AO7" s="8">
        <f t="shared" ref="AO7:AO46" si="3">SUM(AL7:AN7)</f>
        <v>2</v>
      </c>
    </row>
    <row r="8" spans="1:41" ht="12" customHeight="1" x14ac:dyDescent="0.35">
      <c r="A8" s="9">
        <v>2</v>
      </c>
      <c r="B8" s="10">
        <f>IFERROR(VLOOKUP(A8&amp;$AJ$2,Data!$A$2:$AM$131,3,FALSE), "")</f>
        <v>1441</v>
      </c>
      <c r="C8" s="11" t="str">
        <f>IFERROR(VLOOKUP(A8&amp;$AJ$2,Data!$A$2:$AM$131,4,FALSE), "")</f>
        <v>Muhammad Raffasya Aditya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 t="s">
        <v>3</v>
      </c>
      <c r="AL8" s="8">
        <f t="shared" si="0"/>
        <v>0</v>
      </c>
      <c r="AM8" s="8">
        <f t="shared" si="1"/>
        <v>0</v>
      </c>
      <c r="AN8" s="8">
        <f t="shared" si="2"/>
        <v>0</v>
      </c>
      <c r="AO8" s="8">
        <f t="shared" si="3"/>
        <v>0</v>
      </c>
    </row>
    <row r="9" spans="1:41" ht="12" customHeight="1" x14ac:dyDescent="0.35">
      <c r="A9" s="9">
        <v>3</v>
      </c>
      <c r="B9" s="10">
        <f>IFERROR(VLOOKUP(A9&amp;$AJ$2,Data!$A$2:$AM$131,3,FALSE), "")</f>
        <v>1449</v>
      </c>
      <c r="C9" s="11" t="str">
        <f>IFERROR(VLOOKUP(A9&amp;$AJ$2,Data!$A$2:$AM$131,4,FALSE), "")</f>
        <v>Valerie Tohvinsky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 t="s">
        <v>43</v>
      </c>
      <c r="AL9" s="8">
        <f t="shared" si="0"/>
        <v>0</v>
      </c>
      <c r="AM9" s="8">
        <f t="shared" si="1"/>
        <v>0</v>
      </c>
      <c r="AN9" s="8">
        <f t="shared" si="2"/>
        <v>0</v>
      </c>
      <c r="AO9" s="8">
        <f t="shared" si="3"/>
        <v>0</v>
      </c>
    </row>
    <row r="10" spans="1:41" ht="12" customHeight="1" x14ac:dyDescent="0.35">
      <c r="A10" s="9">
        <v>4</v>
      </c>
      <c r="B10" s="10">
        <f>IFERROR(VLOOKUP(A10&amp;$AJ$2,Data!$A$2:$AM$131,3,FALSE), "")</f>
        <v>1450</v>
      </c>
      <c r="C10" s="11" t="str">
        <f>IFERROR(VLOOKUP(A10&amp;$AJ$2,Data!$A$2:$AM$131,4,FALSE), "")</f>
        <v>Vincent Andreanus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K10" s="3" t="s">
        <v>45</v>
      </c>
      <c r="AL10" s="8">
        <f t="shared" si="0"/>
        <v>0</v>
      </c>
      <c r="AM10" s="8">
        <f t="shared" si="1"/>
        <v>0</v>
      </c>
      <c r="AN10" s="8">
        <f t="shared" si="2"/>
        <v>0</v>
      </c>
      <c r="AO10" s="8">
        <f t="shared" si="3"/>
        <v>0</v>
      </c>
    </row>
    <row r="11" spans="1:41" ht="12" customHeight="1" x14ac:dyDescent="0.35">
      <c r="A11" s="9">
        <v>5</v>
      </c>
      <c r="B11" s="10">
        <f>IFERROR(VLOOKUP(A11&amp;$AJ$2,Data!$A$2:$AM$131,3,FALSE), "")</f>
        <v>1459</v>
      </c>
      <c r="C11" s="11" t="str">
        <f>IFERROR(VLOOKUP(A11&amp;$AJ$2,Data!$A$2:$AM$131,4,FALSE), "")</f>
        <v>Edmond Axelle Chan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>
        <f t="shared" si="0"/>
        <v>0</v>
      </c>
      <c r="AM11" s="8">
        <f t="shared" si="1"/>
        <v>0</v>
      </c>
      <c r="AN11" s="8">
        <f t="shared" si="2"/>
        <v>0</v>
      </c>
      <c r="AO11" s="8">
        <f t="shared" si="3"/>
        <v>0</v>
      </c>
    </row>
    <row r="12" spans="1:41" ht="12" customHeight="1" x14ac:dyDescent="0.35">
      <c r="A12" s="9">
        <v>6</v>
      </c>
      <c r="B12" s="10">
        <f>IFERROR(VLOOKUP(A12&amp;$AJ$2,Data!$A$2:$AM$131,3,FALSE), "")</f>
        <v>1473</v>
      </c>
      <c r="C12" s="11" t="str">
        <f>IFERROR(VLOOKUP(A12&amp;$AJ$2,Data!$A$2:$AM$131,4,FALSE), "")</f>
        <v>Raileen Valerie Hugo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L12" s="8">
        <f t="shared" si="0"/>
        <v>0</v>
      </c>
      <c r="AM12" s="8">
        <f t="shared" si="1"/>
        <v>0</v>
      </c>
      <c r="AN12" s="8">
        <f t="shared" si="2"/>
        <v>0</v>
      </c>
      <c r="AO12" s="8">
        <f t="shared" si="3"/>
        <v>0</v>
      </c>
    </row>
    <row r="13" spans="1:41" ht="12" customHeight="1" x14ac:dyDescent="0.35">
      <c r="A13" s="9">
        <v>7</v>
      </c>
      <c r="B13" s="10">
        <f>IFERROR(VLOOKUP(A13&amp;$AJ$2,Data!$A$2:$AM$131,3,FALSE), "")</f>
        <v>1476</v>
      </c>
      <c r="C13" s="11" t="str">
        <f>IFERROR(VLOOKUP(A13&amp;$AJ$2,Data!$A$2:$AM$131,4,FALSE), "")</f>
        <v>Abraham Katikana Ginting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>
        <f t="shared" si="0"/>
        <v>0</v>
      </c>
      <c r="AM13" s="8">
        <f t="shared" si="1"/>
        <v>0</v>
      </c>
      <c r="AN13" s="8">
        <f t="shared" si="2"/>
        <v>0</v>
      </c>
      <c r="AO13" s="8">
        <f t="shared" si="3"/>
        <v>0</v>
      </c>
    </row>
    <row r="14" spans="1:41" ht="12" customHeight="1" x14ac:dyDescent="0.35">
      <c r="A14" s="9">
        <v>8</v>
      </c>
      <c r="B14" s="10">
        <f>IFERROR(VLOOKUP(A14&amp;$AJ$2,Data!$A$2:$AM$131,3,FALSE), "")</f>
        <v>1477</v>
      </c>
      <c r="C14" s="11" t="str">
        <f>IFERROR(VLOOKUP(A14&amp;$AJ$2,Data!$A$2:$AM$131,4,FALSE), "")</f>
        <v>Adelia Manuella Br. Butar-butar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>
        <f t="shared" si="0"/>
        <v>0</v>
      </c>
      <c r="AM14" s="8">
        <f t="shared" si="1"/>
        <v>0</v>
      </c>
      <c r="AN14" s="8">
        <f t="shared" si="2"/>
        <v>0</v>
      </c>
      <c r="AO14" s="8">
        <f t="shared" si="3"/>
        <v>0</v>
      </c>
    </row>
    <row r="15" spans="1:41" ht="12" customHeight="1" x14ac:dyDescent="0.35">
      <c r="A15" s="9">
        <v>9</v>
      </c>
      <c r="B15" s="10">
        <f>IFERROR(VLOOKUP(A15&amp;$AJ$2,Data!$A$2:$AM$131,3,FALSE), "")</f>
        <v>1478</v>
      </c>
      <c r="C15" s="11" t="str">
        <f>IFERROR(VLOOKUP(A15&amp;$AJ$2,Data!$A$2:$AM$131,4,FALSE), "")</f>
        <v>Arnold Johannes Lutan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>
        <f t="shared" si="0"/>
        <v>0</v>
      </c>
      <c r="AM15" s="8">
        <f t="shared" si="1"/>
        <v>0</v>
      </c>
      <c r="AN15" s="8">
        <f t="shared" si="2"/>
        <v>0</v>
      </c>
      <c r="AO15" s="8">
        <f t="shared" si="3"/>
        <v>0</v>
      </c>
    </row>
    <row r="16" spans="1:41" ht="12" customHeight="1" x14ac:dyDescent="0.35">
      <c r="A16" s="9">
        <v>10</v>
      </c>
      <c r="B16" s="10">
        <f>IFERROR(VLOOKUP(A16&amp;$AJ$2,Data!$A$2:$AM$131,3,FALSE), "")</f>
        <v>1479</v>
      </c>
      <c r="C16" s="11" t="str">
        <f>IFERROR(VLOOKUP(A16&amp;$AJ$2,Data!$A$2:$AM$131,4,FALSE), "")</f>
        <v>Bhaskara Salomo Siregar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>
        <f t="shared" si="0"/>
        <v>0</v>
      </c>
      <c r="AM16" s="8">
        <f t="shared" si="1"/>
        <v>0</v>
      </c>
      <c r="AN16" s="8">
        <f t="shared" si="2"/>
        <v>0</v>
      </c>
      <c r="AO16" s="8">
        <f t="shared" si="3"/>
        <v>0</v>
      </c>
    </row>
    <row r="17" spans="1:41" ht="12" customHeight="1" x14ac:dyDescent="0.35">
      <c r="A17" s="9">
        <v>11</v>
      </c>
      <c r="B17" s="10">
        <f>IFERROR(VLOOKUP(A17&amp;$AJ$2,Data!$A$2:$AM$131,3,FALSE), "")</f>
        <v>1480</v>
      </c>
      <c r="C17" s="11" t="str">
        <f>IFERROR(VLOOKUP(A17&amp;$AJ$2,Data!$A$2:$AM$131,4,FALSE), "")</f>
        <v>Darren Almero Chen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>
        <f t="shared" si="0"/>
        <v>0</v>
      </c>
      <c r="AM17" s="8">
        <f t="shared" si="1"/>
        <v>0</v>
      </c>
      <c r="AN17" s="8">
        <f t="shared" si="2"/>
        <v>0</v>
      </c>
      <c r="AO17" s="8">
        <f t="shared" si="3"/>
        <v>0</v>
      </c>
    </row>
    <row r="18" spans="1:41" ht="12" customHeight="1" x14ac:dyDescent="0.35">
      <c r="A18" s="9">
        <v>12</v>
      </c>
      <c r="B18" s="10">
        <f>IFERROR(VLOOKUP(A18&amp;$AJ$2,Data!$A$2:$AM$131,3,FALSE), "")</f>
        <v>1481</v>
      </c>
      <c r="C18" s="11" t="str">
        <f>IFERROR(VLOOKUP(A18&amp;$AJ$2,Data!$A$2:$AM$131,4,FALSE), "")</f>
        <v>Darren Hasiholan Nahulae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>
        <f t="shared" si="0"/>
        <v>0</v>
      </c>
      <c r="AM18" s="8">
        <f t="shared" si="1"/>
        <v>0</v>
      </c>
      <c r="AN18" s="8">
        <f t="shared" si="2"/>
        <v>0</v>
      </c>
      <c r="AO18" s="8">
        <f t="shared" si="3"/>
        <v>0</v>
      </c>
    </row>
    <row r="19" spans="1:41" ht="12" customHeight="1" x14ac:dyDescent="0.35">
      <c r="A19" s="9">
        <v>13</v>
      </c>
      <c r="B19" s="10">
        <f>IFERROR(VLOOKUP(A19&amp;$AJ$2,Data!$A$2:$AM$131,3,FALSE), "")</f>
        <v>1482</v>
      </c>
      <c r="C19" s="11" t="str">
        <f>IFERROR(VLOOKUP(A19&amp;$AJ$2,Data!$A$2:$AM$131,4,FALSE), "")</f>
        <v>Effendi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>
        <f t="shared" si="0"/>
        <v>0</v>
      </c>
      <c r="AM19" s="8">
        <f t="shared" si="1"/>
        <v>0</v>
      </c>
      <c r="AN19" s="8">
        <f t="shared" si="2"/>
        <v>0</v>
      </c>
      <c r="AO19" s="8">
        <f t="shared" si="3"/>
        <v>0</v>
      </c>
    </row>
    <row r="20" spans="1:41" ht="12" customHeight="1" x14ac:dyDescent="0.35">
      <c r="A20" s="9">
        <v>14</v>
      </c>
      <c r="B20" s="10">
        <f>IFERROR(VLOOKUP(A20&amp;$AJ$2,Data!$A$2:$AM$131,3,FALSE), "")</f>
        <v>1483</v>
      </c>
      <c r="C20" s="11" t="str">
        <f>IFERROR(VLOOKUP(A20&amp;$AJ$2,Data!$A$2:$AM$131,4,FALSE), "")</f>
        <v>Geonathan Samudra Simamora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L20" s="8">
        <f t="shared" si="0"/>
        <v>0</v>
      </c>
      <c r="AM20" s="8">
        <f t="shared" si="1"/>
        <v>0</v>
      </c>
      <c r="AN20" s="8">
        <f t="shared" si="2"/>
        <v>0</v>
      </c>
      <c r="AO20" s="8">
        <f t="shared" si="3"/>
        <v>0</v>
      </c>
    </row>
    <row r="21" spans="1:41" ht="12" customHeight="1" x14ac:dyDescent="0.35">
      <c r="A21" s="9">
        <v>15</v>
      </c>
      <c r="B21" s="10">
        <f>IFERROR(VLOOKUP(A21&amp;$AJ$2,Data!$A$2:$AM$131,3,FALSE), "")</f>
        <v>1484</v>
      </c>
      <c r="C21" s="11" t="str">
        <f>IFERROR(VLOOKUP(A21&amp;$AJ$2,Data!$A$2:$AM$131,4,FALSE), "")</f>
        <v>Gestalt Jesen Edellio Manurung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>
        <f t="shared" si="0"/>
        <v>0</v>
      </c>
      <c r="AM21" s="8">
        <f t="shared" si="1"/>
        <v>0</v>
      </c>
      <c r="AN21" s="8">
        <f t="shared" si="2"/>
        <v>0</v>
      </c>
      <c r="AO21" s="8">
        <f t="shared" si="3"/>
        <v>0</v>
      </c>
    </row>
    <row r="22" spans="1:41" ht="12" customHeight="1" x14ac:dyDescent="0.35">
      <c r="A22" s="9">
        <v>16</v>
      </c>
      <c r="B22" s="10">
        <f>IFERROR(VLOOKUP(A22&amp;$AJ$2,Data!$A$2:$AM$131,3,FALSE), "")</f>
        <v>1485</v>
      </c>
      <c r="C22" s="11" t="str">
        <f>IFERROR(VLOOKUP(A22&amp;$AJ$2,Data!$A$2:$AM$131,4,FALSE), "")</f>
        <v>Grace Felicia Simbolon</v>
      </c>
      <c r="D22" s="8" t="s">
        <v>1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>
        <f t="shared" si="0"/>
        <v>1</v>
      </c>
      <c r="AM22" s="8">
        <f t="shared" si="1"/>
        <v>0</v>
      </c>
      <c r="AN22" s="8">
        <f t="shared" si="2"/>
        <v>0</v>
      </c>
      <c r="AO22" s="8">
        <f t="shared" si="3"/>
        <v>1</v>
      </c>
    </row>
    <row r="23" spans="1:41" ht="12" customHeight="1" x14ac:dyDescent="0.35">
      <c r="A23" s="9">
        <v>17</v>
      </c>
      <c r="B23" s="10">
        <f>IFERROR(VLOOKUP(A23&amp;$AJ$2,Data!$A$2:$AM$131,3,FALSE), "")</f>
        <v>1486</v>
      </c>
      <c r="C23" s="11" t="str">
        <f>IFERROR(VLOOKUP(A23&amp;$AJ$2,Data!$A$2:$AM$131,4,FALSE), "")</f>
        <v>Janeeta Elora Silaban</v>
      </c>
      <c r="D23" s="8"/>
      <c r="E23" s="8"/>
      <c r="F23" s="8"/>
      <c r="G23" s="8"/>
      <c r="H23" s="8"/>
      <c r="I23" s="8" t="s">
        <v>3</v>
      </c>
      <c r="J23" s="8" t="s">
        <v>3</v>
      </c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>
        <f t="shared" si="0"/>
        <v>0</v>
      </c>
      <c r="AM23" s="8">
        <f t="shared" si="1"/>
        <v>2</v>
      </c>
      <c r="AN23" s="8">
        <f t="shared" si="2"/>
        <v>0</v>
      </c>
      <c r="AO23" s="8">
        <f t="shared" si="3"/>
        <v>2</v>
      </c>
    </row>
    <row r="24" spans="1:41" ht="12" customHeight="1" x14ac:dyDescent="0.35">
      <c r="A24" s="9">
        <v>18</v>
      </c>
      <c r="B24" s="10">
        <f>IFERROR(VLOOKUP(A24&amp;$AJ$2,Data!$A$2:$AM$131,3,FALSE), "")</f>
        <v>1487</v>
      </c>
      <c r="C24" s="11" t="str">
        <f>IFERROR(VLOOKUP(A24&amp;$AJ$2,Data!$A$2:$AM$131,4,FALSE), "")</f>
        <v>Jayden Febrian Chai</v>
      </c>
      <c r="D24" s="8"/>
      <c r="E24" s="8"/>
      <c r="F24" s="8"/>
      <c r="G24" s="8"/>
      <c r="H24" s="8"/>
      <c r="I24" s="8" t="s">
        <v>1</v>
      </c>
      <c r="J24" s="8" t="s">
        <v>1</v>
      </c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>
        <f t="shared" si="0"/>
        <v>2</v>
      </c>
      <c r="AM24" s="8">
        <f t="shared" si="1"/>
        <v>0</v>
      </c>
      <c r="AN24" s="8">
        <f t="shared" si="2"/>
        <v>0</v>
      </c>
      <c r="AO24" s="8">
        <f t="shared" si="3"/>
        <v>2</v>
      </c>
    </row>
    <row r="25" spans="1:41" ht="12" customHeight="1" x14ac:dyDescent="0.35">
      <c r="A25" s="9">
        <v>19</v>
      </c>
      <c r="B25" s="10">
        <f>IFERROR(VLOOKUP(A25&amp;$AJ$2,Data!$A$2:$AM$131,3,FALSE), "")</f>
        <v>1488</v>
      </c>
      <c r="C25" s="11" t="str">
        <f>IFERROR(VLOOKUP(A25&amp;$AJ$2,Data!$A$2:$AM$131,4,FALSE), "")</f>
        <v>Jocelin Samosir</v>
      </c>
      <c r="D25" s="8" t="s">
        <v>3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>
        <f t="shared" si="0"/>
        <v>0</v>
      </c>
      <c r="AM25" s="8">
        <f t="shared" si="1"/>
        <v>1</v>
      </c>
      <c r="AN25" s="8">
        <f t="shared" si="2"/>
        <v>0</v>
      </c>
      <c r="AO25" s="8">
        <f t="shared" si="3"/>
        <v>1</v>
      </c>
    </row>
    <row r="26" spans="1:41" ht="12" customHeight="1" x14ac:dyDescent="0.35">
      <c r="A26" s="9">
        <v>20</v>
      </c>
      <c r="B26" s="10">
        <f>IFERROR(VLOOKUP(A26&amp;$AJ$2,Data!$A$2:$AM$131,3,FALSE), "")</f>
        <v>1489</v>
      </c>
      <c r="C26" s="11" t="str">
        <f>IFERROR(VLOOKUP(A26&amp;$AJ$2,Data!$A$2:$AM$131,4,FALSE), "")</f>
        <v>Kartika Joceline Simanjuntak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>
        <f t="shared" si="0"/>
        <v>0</v>
      </c>
      <c r="AM26" s="8">
        <f t="shared" si="1"/>
        <v>0</v>
      </c>
      <c r="AN26" s="8">
        <f t="shared" si="2"/>
        <v>0</v>
      </c>
      <c r="AO26" s="8">
        <f t="shared" si="3"/>
        <v>0</v>
      </c>
    </row>
    <row r="27" spans="1:41" ht="12" customHeight="1" x14ac:dyDescent="0.35">
      <c r="A27" s="9">
        <v>21</v>
      </c>
      <c r="B27" s="10">
        <f>IFERROR(VLOOKUP(A27&amp;$AJ$2,Data!$A$2:$AM$131,3,FALSE), "")</f>
        <v>1490</v>
      </c>
      <c r="C27" s="11" t="str">
        <f>IFERROR(VLOOKUP(A27&amp;$AJ$2,Data!$A$2:$AM$131,4,FALSE), "")</f>
        <v>Larasaty Pramidita Sihite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>
        <f t="shared" si="0"/>
        <v>0</v>
      </c>
      <c r="AM27" s="8">
        <f t="shared" si="1"/>
        <v>0</v>
      </c>
      <c r="AN27" s="8">
        <f t="shared" si="2"/>
        <v>0</v>
      </c>
      <c r="AO27" s="8">
        <f t="shared" si="3"/>
        <v>0</v>
      </c>
    </row>
    <row r="28" spans="1:41" ht="12" customHeight="1" x14ac:dyDescent="0.35">
      <c r="A28" s="9">
        <v>22</v>
      </c>
      <c r="B28" s="10">
        <f>IFERROR(VLOOKUP(A28&amp;$AJ$2,Data!$A$2:$AM$131,3,FALSE), "")</f>
        <v>1491</v>
      </c>
      <c r="C28" s="11" t="str">
        <f>IFERROR(VLOOKUP(A28&amp;$AJ$2,Data!$A$2:$AM$131,4,FALSE), "")</f>
        <v>Michelle Angela Tan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>
        <f t="shared" si="0"/>
        <v>0</v>
      </c>
      <c r="AM28" s="8">
        <f t="shared" si="1"/>
        <v>0</v>
      </c>
      <c r="AN28" s="8">
        <f t="shared" si="2"/>
        <v>0</v>
      </c>
      <c r="AO28" s="8">
        <f t="shared" si="3"/>
        <v>0</v>
      </c>
    </row>
    <row r="29" spans="1:41" ht="12" customHeight="1" x14ac:dyDescent="0.35">
      <c r="A29" s="9">
        <v>23</v>
      </c>
      <c r="B29" s="10">
        <f>IFERROR(VLOOKUP(A29&amp;$AJ$2,Data!$A$2:$AM$131,3,FALSE), "")</f>
        <v>1492</v>
      </c>
      <c r="C29" s="11" t="str">
        <f>IFERROR(VLOOKUP(A29&amp;$AJ$2,Data!$A$2:$AM$131,4,FALSE), "")</f>
        <v>Mikhael Glorius Simbolon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>
        <f t="shared" si="0"/>
        <v>0</v>
      </c>
      <c r="AM29" s="8">
        <f t="shared" si="1"/>
        <v>0</v>
      </c>
      <c r="AN29" s="8">
        <f t="shared" si="2"/>
        <v>0</v>
      </c>
      <c r="AO29" s="8">
        <f t="shared" si="3"/>
        <v>0</v>
      </c>
    </row>
    <row r="30" spans="1:41" ht="12" customHeight="1" x14ac:dyDescent="0.35">
      <c r="A30" s="9">
        <v>24</v>
      </c>
      <c r="B30" s="10">
        <f>IFERROR(VLOOKUP(A30&amp;$AJ$2,Data!$A$2:$AM$131,3,FALSE), "")</f>
        <v>1493</v>
      </c>
      <c r="C30" s="11" t="str">
        <f>IFERROR(VLOOKUP(A30&amp;$AJ$2,Data!$A$2:$AM$131,4,FALSE), "")</f>
        <v>Naraya Elsandri Br. Sembiring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>
        <f t="shared" si="0"/>
        <v>0</v>
      </c>
      <c r="AM30" s="8">
        <f t="shared" si="1"/>
        <v>0</v>
      </c>
      <c r="AN30" s="8">
        <f t="shared" si="2"/>
        <v>0</v>
      </c>
      <c r="AO30" s="8">
        <f t="shared" si="3"/>
        <v>0</v>
      </c>
    </row>
    <row r="31" spans="1:41" ht="12" customHeight="1" x14ac:dyDescent="0.35">
      <c r="A31" s="9">
        <v>25</v>
      </c>
      <c r="B31" s="10">
        <f>IFERROR(VLOOKUP(A31&amp;$AJ$2,Data!$A$2:$AM$131,3,FALSE), "")</f>
        <v>1494</v>
      </c>
      <c r="C31" s="11" t="str">
        <f>IFERROR(VLOOKUP(A31&amp;$AJ$2,Data!$A$2:$AM$131,4,FALSE), "")</f>
        <v>Reinier Jackson Yaputra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>
        <f t="shared" si="0"/>
        <v>0</v>
      </c>
      <c r="AM31" s="8">
        <f t="shared" si="1"/>
        <v>0</v>
      </c>
      <c r="AN31" s="8">
        <f t="shared" si="2"/>
        <v>0</v>
      </c>
      <c r="AO31" s="8">
        <f t="shared" si="3"/>
        <v>0</v>
      </c>
    </row>
    <row r="32" spans="1:41" ht="12" customHeight="1" x14ac:dyDescent="0.35">
      <c r="A32" s="9">
        <v>26</v>
      </c>
      <c r="B32" s="10">
        <f>IFERROR(VLOOKUP(A32&amp;$AJ$2,Data!$A$2:$AM$131,3,FALSE), "")</f>
        <v>1495</v>
      </c>
      <c r="C32" s="11" t="str">
        <f>IFERROR(VLOOKUP(A32&amp;$AJ$2,Data!$A$2:$AM$131,4,FALSE), "")</f>
        <v>Rweno Richie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>
        <f t="shared" si="0"/>
        <v>0</v>
      </c>
      <c r="AM32" s="8">
        <f t="shared" si="1"/>
        <v>0</v>
      </c>
      <c r="AN32" s="8">
        <f t="shared" si="2"/>
        <v>0</v>
      </c>
      <c r="AO32" s="8">
        <f t="shared" si="3"/>
        <v>0</v>
      </c>
    </row>
    <row r="33" spans="1:41" ht="12" customHeight="1" x14ac:dyDescent="0.35">
      <c r="A33" s="9">
        <v>27</v>
      </c>
      <c r="B33" s="10">
        <f>IFERROR(VLOOKUP(A33&amp;$AJ$2,Data!$A$2:$AM$131,3,FALSE), "")</f>
        <v>1496</v>
      </c>
      <c r="C33" s="11" t="str">
        <f>IFERROR(VLOOKUP(A33&amp;$AJ$2,Data!$A$2:$AM$131,4,FALSE), "")</f>
        <v>Sagiv Levinskie Nainggolan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>
        <f t="shared" si="0"/>
        <v>0</v>
      </c>
      <c r="AM33" s="8">
        <f t="shared" si="1"/>
        <v>0</v>
      </c>
      <c r="AN33" s="8">
        <f t="shared" si="2"/>
        <v>0</v>
      </c>
      <c r="AO33" s="8">
        <f t="shared" si="3"/>
        <v>0</v>
      </c>
    </row>
    <row r="34" spans="1:41" ht="12" customHeight="1" x14ac:dyDescent="0.35">
      <c r="A34" s="9">
        <v>28</v>
      </c>
      <c r="B34" s="10">
        <f>IFERROR(VLOOKUP(A34&amp;$AJ$2,Data!$A$2:$AM$131,3,FALSE), "")</f>
        <v>1497</v>
      </c>
      <c r="C34" s="11" t="str">
        <f>IFERROR(VLOOKUP(A34&amp;$AJ$2,Data!$A$2:$AM$131,4,FALSE), "")</f>
        <v>Sean Milan Saragih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>
        <f t="shared" si="0"/>
        <v>0</v>
      </c>
      <c r="AM34" s="8">
        <f t="shared" si="1"/>
        <v>0</v>
      </c>
      <c r="AN34" s="8">
        <f t="shared" si="2"/>
        <v>0</v>
      </c>
      <c r="AO34" s="8">
        <f t="shared" si="3"/>
        <v>0</v>
      </c>
    </row>
    <row r="35" spans="1:41" ht="12" customHeight="1" x14ac:dyDescent="0.35">
      <c r="A35" s="9">
        <v>29</v>
      </c>
      <c r="B35" s="10">
        <f>IFERROR(VLOOKUP(A35&amp;$AJ$2,Data!$A$2:$AM$131,3,FALSE), "")</f>
        <v>1498</v>
      </c>
      <c r="C35" s="11" t="str">
        <f>IFERROR(VLOOKUP(A35&amp;$AJ$2,Data!$A$2:$AM$131,4,FALSE), "")</f>
        <v>Sheera Leticia Nainggolan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>
        <f t="shared" si="0"/>
        <v>0</v>
      </c>
      <c r="AM35" s="8">
        <f t="shared" si="1"/>
        <v>0</v>
      </c>
      <c r="AN35" s="8">
        <f t="shared" si="2"/>
        <v>0</v>
      </c>
      <c r="AO35" s="8">
        <f t="shared" si="3"/>
        <v>0</v>
      </c>
    </row>
    <row r="36" spans="1:41" ht="12" customHeight="1" x14ac:dyDescent="0.35">
      <c r="A36" s="9">
        <v>30</v>
      </c>
      <c r="B36" s="10">
        <f>IFERROR(VLOOKUP(A36&amp;$AJ$2,Data!$A$2:$AM$131,3,FALSE), "")</f>
        <v>1499</v>
      </c>
      <c r="C36" s="11" t="str">
        <f>IFERROR(VLOOKUP(A36&amp;$AJ$2,Data!$A$2:$AM$131,4,FALSE), "")</f>
        <v>Sheryn Florencia Nainggolan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>
        <f t="shared" si="0"/>
        <v>0</v>
      </c>
      <c r="AM36" s="8">
        <f t="shared" si="1"/>
        <v>0</v>
      </c>
      <c r="AN36" s="8">
        <f t="shared" si="2"/>
        <v>0</v>
      </c>
      <c r="AO36" s="8">
        <f t="shared" si="3"/>
        <v>0</v>
      </c>
    </row>
    <row r="37" spans="1:41" ht="12" customHeight="1" x14ac:dyDescent="0.35">
      <c r="A37" s="9">
        <v>31</v>
      </c>
      <c r="B37" s="10">
        <f>IFERROR(VLOOKUP(A37&amp;$AJ$2,Data!$A$2:$AM$131,3,FALSE), "")</f>
        <v>1500</v>
      </c>
      <c r="C37" s="11" t="str">
        <f>IFERROR(VLOOKUP(A37&amp;$AJ$2,Data!$A$2:$AM$131,4,FALSE), "")</f>
        <v>Trini Arindy Br. Pasaribu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>
        <f t="shared" si="0"/>
        <v>0</v>
      </c>
      <c r="AM37" s="8">
        <f t="shared" si="1"/>
        <v>0</v>
      </c>
      <c r="AN37" s="8">
        <f t="shared" si="2"/>
        <v>0</v>
      </c>
      <c r="AO37" s="8">
        <f t="shared" si="3"/>
        <v>0</v>
      </c>
    </row>
    <row r="38" spans="1:41" ht="12" customHeight="1" x14ac:dyDescent="0.35">
      <c r="A38" s="9">
        <v>32</v>
      </c>
      <c r="B38" s="10">
        <f>IFERROR(VLOOKUP(A38&amp;$AJ$2,Data!$A$2:$AM$131,3,FALSE), "")</f>
        <v>1501</v>
      </c>
      <c r="C38" s="11" t="str">
        <f>IFERROR(VLOOKUP(A38&amp;$AJ$2,Data!$A$2:$AM$131,4,FALSE), "")</f>
        <v>Valencia Tjuatja</v>
      </c>
      <c r="D38" s="8"/>
      <c r="E38" s="8"/>
      <c r="F38" s="8"/>
      <c r="G38" s="8"/>
      <c r="H38" s="8"/>
      <c r="I38" s="8" t="s">
        <v>1</v>
      </c>
      <c r="J38" s="8" t="s">
        <v>1</v>
      </c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>
        <f t="shared" si="0"/>
        <v>2</v>
      </c>
      <c r="AM38" s="8">
        <f t="shared" si="1"/>
        <v>0</v>
      </c>
      <c r="AN38" s="8">
        <f t="shared" si="2"/>
        <v>0</v>
      </c>
      <c r="AO38" s="8">
        <f t="shared" si="3"/>
        <v>2</v>
      </c>
    </row>
    <row r="39" spans="1:41" ht="12" customHeight="1" x14ac:dyDescent="0.35">
      <c r="A39" s="9">
        <v>33</v>
      </c>
      <c r="B39" s="10">
        <f>IFERROR(VLOOKUP(A39&amp;$AJ$2,Data!$A$2:$AM$131,3,FALSE), "")</f>
        <v>1502</v>
      </c>
      <c r="C39" s="11" t="str">
        <f>IFERROR(VLOOKUP(A39&amp;$AJ$2,Data!$A$2:$AM$131,4,FALSE), "")</f>
        <v>Vallerie Laurist</v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>
        <f t="shared" si="0"/>
        <v>0</v>
      </c>
      <c r="AM39" s="8">
        <f t="shared" si="1"/>
        <v>0</v>
      </c>
      <c r="AN39" s="8">
        <f t="shared" si="2"/>
        <v>0</v>
      </c>
      <c r="AO39" s="8">
        <f t="shared" si="3"/>
        <v>0</v>
      </c>
    </row>
    <row r="40" spans="1:41" ht="12" customHeight="1" x14ac:dyDescent="0.35">
      <c r="A40" s="9">
        <v>34</v>
      </c>
      <c r="B40" s="10">
        <f>IFERROR(VLOOKUP(A40&amp;$AJ$2,Data!$A$2:$AM$131,3,FALSE), "")</f>
        <v>1503</v>
      </c>
      <c r="C40" s="11" t="str">
        <f>IFERROR(VLOOKUP(A40&amp;$AJ$2,Data!$A$2:$AM$131,4,FALSE), "")</f>
        <v>Vionetta Brylie Siregar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>
        <f t="shared" si="0"/>
        <v>0</v>
      </c>
      <c r="AM40" s="8">
        <f t="shared" si="1"/>
        <v>0</v>
      </c>
      <c r="AN40" s="8">
        <f t="shared" si="2"/>
        <v>0</v>
      </c>
      <c r="AO40" s="8">
        <f t="shared" si="3"/>
        <v>0</v>
      </c>
    </row>
    <row r="41" spans="1:41" ht="12" customHeight="1" x14ac:dyDescent="0.35">
      <c r="A41" s="9">
        <v>35</v>
      </c>
      <c r="B41" s="10">
        <f>IFERROR(VLOOKUP(A41&amp;$AJ$2,Data!$A$2:$AM$131,3,FALSE), "")</f>
        <v>1504</v>
      </c>
      <c r="C41" s="11" t="str">
        <f>IFERROR(VLOOKUP(A41&amp;$AJ$2,Data!$A$2:$AM$131,4,FALSE), "")</f>
        <v>Wilson Nicholas Lim</v>
      </c>
      <c r="D41" s="8"/>
      <c r="E41" s="8" t="s">
        <v>3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>
        <f t="shared" si="0"/>
        <v>0</v>
      </c>
      <c r="AM41" s="8">
        <f t="shared" si="1"/>
        <v>1</v>
      </c>
      <c r="AN41" s="8">
        <f t="shared" si="2"/>
        <v>0</v>
      </c>
      <c r="AO41" s="8">
        <f t="shared" si="3"/>
        <v>1</v>
      </c>
    </row>
    <row r="42" spans="1:41" ht="12" customHeight="1" x14ac:dyDescent="0.35">
      <c r="A42" s="9">
        <v>36</v>
      </c>
      <c r="B42" s="10">
        <f>IFERROR(VLOOKUP(A42&amp;$AJ$2,Data!$A$2:$AM$131,3,FALSE), "")</f>
        <v>1535</v>
      </c>
      <c r="C42" s="11" t="str">
        <f>IFERROR(VLOOKUP(A42&amp;$AJ$2,Data!$A$2:$AM$131,4,FALSE), "")</f>
        <v>Gabe Cristiano Gultom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>
        <f t="shared" si="0"/>
        <v>0</v>
      </c>
      <c r="AM42" s="8">
        <f t="shared" si="1"/>
        <v>0</v>
      </c>
      <c r="AN42" s="8">
        <f t="shared" si="2"/>
        <v>0</v>
      </c>
      <c r="AO42" s="8">
        <f t="shared" si="3"/>
        <v>0</v>
      </c>
    </row>
    <row r="43" spans="1:41" ht="14.25" customHeight="1" x14ac:dyDescent="0.35">
      <c r="A43" s="9">
        <v>37</v>
      </c>
      <c r="B43" s="10">
        <f>IFERROR(VLOOKUP(A43&amp;$AJ$2,Data!$A$2:$AM$131,3,FALSE), "")</f>
        <v>0</v>
      </c>
      <c r="C43" s="11" t="str">
        <f>IFERROR(VLOOKUP(A43&amp;$AJ$2,Data!$A$2:$AM$131,4,FALSE), "")</f>
        <v>helena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>
        <f t="shared" si="0"/>
        <v>0</v>
      </c>
      <c r="AM43" s="8">
        <f t="shared" si="1"/>
        <v>0</v>
      </c>
      <c r="AN43" s="8">
        <f t="shared" si="2"/>
        <v>0</v>
      </c>
      <c r="AO43" s="8">
        <f t="shared" si="3"/>
        <v>0</v>
      </c>
    </row>
    <row r="44" spans="1:41" ht="14.25" customHeight="1" x14ac:dyDescent="0.35">
      <c r="A44" s="9">
        <v>38</v>
      </c>
      <c r="B44" s="10" t="str">
        <f>IFERROR(VLOOKUP(A44&amp;$AJ$2,Data!$A$2:$AM$131,3,FALSE), "")</f>
        <v/>
      </c>
      <c r="C44" s="11" t="str">
        <f>IFERROR(VLOOKUP(A44&amp;$AJ$2,Data!$A$2:$AM$131,4,FALSE), "")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>
        <f t="shared" si="0"/>
        <v>0</v>
      </c>
      <c r="AM44" s="8">
        <f t="shared" si="1"/>
        <v>0</v>
      </c>
      <c r="AN44" s="8">
        <f t="shared" si="2"/>
        <v>0</v>
      </c>
      <c r="AO44" s="8">
        <f t="shared" si="3"/>
        <v>0</v>
      </c>
    </row>
    <row r="45" spans="1:41" ht="14.25" customHeight="1" x14ac:dyDescent="0.35">
      <c r="A45" s="9">
        <v>39</v>
      </c>
      <c r="B45" s="10" t="str">
        <f>IFERROR(VLOOKUP(A45&amp;$AJ$2,Data!$A$2:$AM$131,3,FALSE), "")</f>
        <v/>
      </c>
      <c r="C45" s="11" t="str">
        <f>IFERROR(VLOOKUP(A45&amp;$AJ$2,Data!$A$2:$AM$131,4,FALSE), "")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>
        <f t="shared" si="0"/>
        <v>0</v>
      </c>
      <c r="AM45" s="8">
        <f t="shared" si="1"/>
        <v>0</v>
      </c>
      <c r="AN45" s="8">
        <f t="shared" si="2"/>
        <v>0</v>
      </c>
      <c r="AO45" s="8">
        <f t="shared" si="3"/>
        <v>0</v>
      </c>
    </row>
    <row r="46" spans="1:41" ht="14.25" customHeight="1" x14ac:dyDescent="0.35">
      <c r="A46" s="9">
        <v>40</v>
      </c>
      <c r="B46" s="10" t="str">
        <f>IFERROR(VLOOKUP(A46&amp;$AJ$2,Data!$A$2:$AM$131,3,FALSE), "")</f>
        <v/>
      </c>
      <c r="C46" s="11" t="str">
        <f>IFERROR(VLOOKUP(A46&amp;$AJ$2,Data!$A$2:$AM$131,4,FALSE), "")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>
        <f t="shared" si="0"/>
        <v>0</v>
      </c>
      <c r="AM46" s="8">
        <f t="shared" si="1"/>
        <v>0</v>
      </c>
      <c r="AN46" s="8">
        <f t="shared" si="2"/>
        <v>0</v>
      </c>
      <c r="AO46" s="8">
        <f t="shared" si="3"/>
        <v>0</v>
      </c>
    </row>
    <row r="47" spans="1:41" ht="14.25" customHeight="1" x14ac:dyDescent="0.35"/>
    <row r="48" spans="1:41" ht="14.25" customHeight="1" x14ac:dyDescent="0.35"/>
    <row r="49" spans="3:34" ht="14.25" customHeight="1" x14ac:dyDescent="0.35">
      <c r="C49" s="3" t="s">
        <v>1</v>
      </c>
      <c r="D49" s="15">
        <f t="shared" ref="D49:AH49" si="4">COUNTIF(D7:D47,"S")</f>
        <v>1</v>
      </c>
      <c r="E49" s="15">
        <f t="shared" si="4"/>
        <v>0</v>
      </c>
      <c r="F49" s="15">
        <f t="shared" si="4"/>
        <v>0</v>
      </c>
      <c r="G49" s="15">
        <f t="shared" si="4"/>
        <v>0</v>
      </c>
      <c r="H49" s="15">
        <f t="shared" si="4"/>
        <v>0</v>
      </c>
      <c r="I49" s="15">
        <f t="shared" si="4"/>
        <v>2</v>
      </c>
      <c r="J49" s="15">
        <f t="shared" si="4"/>
        <v>2</v>
      </c>
      <c r="K49" s="15">
        <f t="shared" si="4"/>
        <v>0</v>
      </c>
      <c r="L49" s="15">
        <f t="shared" si="4"/>
        <v>0</v>
      </c>
      <c r="M49" s="15">
        <f t="shared" si="4"/>
        <v>0</v>
      </c>
      <c r="N49" s="15">
        <f t="shared" si="4"/>
        <v>0</v>
      </c>
      <c r="O49" s="15">
        <f t="shared" si="4"/>
        <v>0</v>
      </c>
      <c r="P49" s="15">
        <f t="shared" si="4"/>
        <v>0</v>
      </c>
      <c r="Q49" s="15">
        <f t="shared" si="4"/>
        <v>0</v>
      </c>
      <c r="R49" s="15">
        <f t="shared" si="4"/>
        <v>0</v>
      </c>
      <c r="S49" s="15">
        <f t="shared" si="4"/>
        <v>0</v>
      </c>
      <c r="T49" s="15">
        <f t="shared" si="4"/>
        <v>0</v>
      </c>
      <c r="U49" s="15">
        <f t="shared" si="4"/>
        <v>0</v>
      </c>
      <c r="V49" s="15">
        <f t="shared" si="4"/>
        <v>0</v>
      </c>
      <c r="W49" s="15">
        <f t="shared" si="4"/>
        <v>0</v>
      </c>
      <c r="X49" s="15">
        <f t="shared" si="4"/>
        <v>0</v>
      </c>
      <c r="Y49" s="15">
        <f t="shared" si="4"/>
        <v>0</v>
      </c>
      <c r="Z49" s="15">
        <f t="shared" si="4"/>
        <v>0</v>
      </c>
      <c r="AA49" s="15">
        <f t="shared" si="4"/>
        <v>0</v>
      </c>
      <c r="AB49" s="15">
        <f t="shared" si="4"/>
        <v>0</v>
      </c>
      <c r="AC49" s="15">
        <f t="shared" si="4"/>
        <v>0</v>
      </c>
      <c r="AD49" s="15">
        <f t="shared" si="4"/>
        <v>0</v>
      </c>
      <c r="AE49" s="15">
        <f t="shared" si="4"/>
        <v>0</v>
      </c>
      <c r="AF49" s="15">
        <f t="shared" si="4"/>
        <v>0</v>
      </c>
      <c r="AG49" s="15">
        <f t="shared" si="4"/>
        <v>0</v>
      </c>
      <c r="AH49" s="15">
        <f t="shared" si="4"/>
        <v>0</v>
      </c>
    </row>
    <row r="50" spans="3:34" ht="14.25" customHeight="1" x14ac:dyDescent="0.35">
      <c r="C50" s="3" t="s">
        <v>3</v>
      </c>
      <c r="D50" s="15">
        <f t="shared" ref="D50:AH50" si="5">COUNTIF(D7:D47,"I")</f>
        <v>2</v>
      </c>
      <c r="E50" s="15">
        <f t="shared" si="5"/>
        <v>2</v>
      </c>
      <c r="F50" s="15">
        <f t="shared" si="5"/>
        <v>0</v>
      </c>
      <c r="G50" s="15">
        <f t="shared" si="5"/>
        <v>0</v>
      </c>
      <c r="H50" s="15">
        <f t="shared" si="5"/>
        <v>0</v>
      </c>
      <c r="I50" s="15">
        <f t="shared" si="5"/>
        <v>1</v>
      </c>
      <c r="J50" s="15">
        <f t="shared" si="5"/>
        <v>1</v>
      </c>
      <c r="K50" s="15">
        <f t="shared" si="5"/>
        <v>0</v>
      </c>
      <c r="L50" s="15">
        <f t="shared" si="5"/>
        <v>0</v>
      </c>
      <c r="M50" s="15">
        <f t="shared" si="5"/>
        <v>0</v>
      </c>
      <c r="N50" s="15">
        <f t="shared" si="5"/>
        <v>0</v>
      </c>
      <c r="O50" s="15">
        <f t="shared" si="5"/>
        <v>0</v>
      </c>
      <c r="P50" s="15">
        <f t="shared" si="5"/>
        <v>0</v>
      </c>
      <c r="Q50" s="15">
        <f t="shared" si="5"/>
        <v>0</v>
      </c>
      <c r="R50" s="15">
        <f t="shared" si="5"/>
        <v>0</v>
      </c>
      <c r="S50" s="15">
        <f t="shared" si="5"/>
        <v>0</v>
      </c>
      <c r="T50" s="15">
        <f t="shared" si="5"/>
        <v>0</v>
      </c>
      <c r="U50" s="15">
        <f t="shared" si="5"/>
        <v>0</v>
      </c>
      <c r="V50" s="15">
        <f t="shared" si="5"/>
        <v>0</v>
      </c>
      <c r="W50" s="15">
        <f t="shared" si="5"/>
        <v>0</v>
      </c>
      <c r="X50" s="15">
        <f t="shared" si="5"/>
        <v>0</v>
      </c>
      <c r="Y50" s="15">
        <f t="shared" si="5"/>
        <v>0</v>
      </c>
      <c r="Z50" s="15">
        <f t="shared" si="5"/>
        <v>0</v>
      </c>
      <c r="AA50" s="15">
        <f t="shared" si="5"/>
        <v>0</v>
      </c>
      <c r="AB50" s="15">
        <f t="shared" si="5"/>
        <v>0</v>
      </c>
      <c r="AC50" s="15">
        <f t="shared" si="5"/>
        <v>0</v>
      </c>
      <c r="AD50" s="15">
        <f t="shared" si="5"/>
        <v>0</v>
      </c>
      <c r="AE50" s="15">
        <f t="shared" si="5"/>
        <v>0</v>
      </c>
      <c r="AF50" s="15">
        <f t="shared" si="5"/>
        <v>0</v>
      </c>
      <c r="AG50" s="15">
        <f t="shared" si="5"/>
        <v>0</v>
      </c>
      <c r="AH50" s="15">
        <f t="shared" si="5"/>
        <v>0</v>
      </c>
    </row>
    <row r="51" spans="3:34" ht="14.25" customHeight="1" x14ac:dyDescent="0.35">
      <c r="C51" s="3" t="s">
        <v>43</v>
      </c>
      <c r="D51" s="15">
        <f t="shared" ref="D51:AH51" si="6">COUNTIF(D7:D47,"A")</f>
        <v>0</v>
      </c>
      <c r="E51" s="15">
        <f t="shared" si="6"/>
        <v>0</v>
      </c>
      <c r="F51" s="15">
        <f t="shared" si="6"/>
        <v>0</v>
      </c>
      <c r="G51" s="15">
        <f t="shared" si="6"/>
        <v>0</v>
      </c>
      <c r="H51" s="15">
        <f t="shared" si="6"/>
        <v>0</v>
      </c>
      <c r="I51" s="15">
        <f t="shared" si="6"/>
        <v>0</v>
      </c>
      <c r="J51" s="15">
        <f t="shared" si="6"/>
        <v>0</v>
      </c>
      <c r="K51" s="15">
        <f t="shared" si="6"/>
        <v>0</v>
      </c>
      <c r="L51" s="15">
        <f t="shared" si="6"/>
        <v>0</v>
      </c>
      <c r="M51" s="15">
        <f t="shared" si="6"/>
        <v>0</v>
      </c>
      <c r="N51" s="15">
        <f t="shared" si="6"/>
        <v>0</v>
      </c>
      <c r="O51" s="15">
        <f t="shared" si="6"/>
        <v>0</v>
      </c>
      <c r="P51" s="15">
        <f t="shared" si="6"/>
        <v>0</v>
      </c>
      <c r="Q51" s="15">
        <f t="shared" si="6"/>
        <v>0</v>
      </c>
      <c r="R51" s="15">
        <f t="shared" si="6"/>
        <v>0</v>
      </c>
      <c r="S51" s="15">
        <f t="shared" si="6"/>
        <v>0</v>
      </c>
      <c r="T51" s="15">
        <f t="shared" si="6"/>
        <v>0</v>
      </c>
      <c r="U51" s="15">
        <f t="shared" si="6"/>
        <v>0</v>
      </c>
      <c r="V51" s="15">
        <f t="shared" si="6"/>
        <v>0</v>
      </c>
      <c r="W51" s="15">
        <f t="shared" si="6"/>
        <v>0</v>
      </c>
      <c r="X51" s="15">
        <f t="shared" si="6"/>
        <v>0</v>
      </c>
      <c r="Y51" s="15">
        <f t="shared" si="6"/>
        <v>0</v>
      </c>
      <c r="Z51" s="15">
        <f t="shared" si="6"/>
        <v>0</v>
      </c>
      <c r="AA51" s="15">
        <f t="shared" si="6"/>
        <v>0</v>
      </c>
      <c r="AB51" s="15">
        <f t="shared" si="6"/>
        <v>0</v>
      </c>
      <c r="AC51" s="15">
        <f t="shared" si="6"/>
        <v>0</v>
      </c>
      <c r="AD51" s="15">
        <f t="shared" si="6"/>
        <v>0</v>
      </c>
      <c r="AE51" s="15">
        <f t="shared" si="6"/>
        <v>0</v>
      </c>
      <c r="AF51" s="15">
        <f t="shared" si="6"/>
        <v>0</v>
      </c>
      <c r="AG51" s="15">
        <f t="shared" si="6"/>
        <v>0</v>
      </c>
      <c r="AH51" s="15">
        <f t="shared" si="6"/>
        <v>0</v>
      </c>
    </row>
    <row r="52" spans="3:34" ht="14.25" customHeight="1" x14ac:dyDescent="0.35"/>
    <row r="53" spans="3:34" ht="14.25" customHeight="1" x14ac:dyDescent="0.35"/>
    <row r="54" spans="3:34" ht="14.25" customHeight="1" x14ac:dyDescent="0.35"/>
    <row r="55" spans="3:34" ht="14.25" customHeight="1" x14ac:dyDescent="0.35">
      <c r="Q55" t="s">
        <v>1</v>
      </c>
      <c r="R55" t="s">
        <v>1</v>
      </c>
      <c r="S55" t="s">
        <v>1</v>
      </c>
    </row>
    <row r="56" spans="3:34" ht="14.25" customHeight="1" x14ac:dyDescent="0.35"/>
    <row r="57" spans="3:34" ht="14.25" customHeight="1" x14ac:dyDescent="0.35"/>
    <row r="58" spans="3:34" ht="14.25" customHeight="1" x14ac:dyDescent="0.35"/>
    <row r="59" spans="3:34" ht="14.25" customHeight="1" x14ac:dyDescent="0.35"/>
    <row r="60" spans="3:34" ht="14.25" customHeight="1" x14ac:dyDescent="0.35"/>
    <row r="61" spans="3:34" ht="14.25" customHeight="1" x14ac:dyDescent="0.35"/>
    <row r="62" spans="3:34" ht="14.25" customHeight="1" x14ac:dyDescent="0.35"/>
    <row r="63" spans="3:34" ht="14.25" customHeight="1" x14ac:dyDescent="0.35"/>
    <row r="64" spans="3:3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1">
    <dataValidation type="list" allowBlank="1" showErrorMessage="1" sqref="D7:AH46" xr:uid="{00000000-0002-0000-0200-000000000000}">
      <formula1>$AK$7:$AK$10</formula1>
    </dataValidation>
  </dataValidations>
  <pageMargins left="0.3" right="0.3" top="0.3" bottom="0.3" header="0" footer="0"/>
  <pageSetup paperSize="14" scale="9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998"/>
  <sheetViews>
    <sheetView tabSelected="1" workbookViewId="0">
      <selection activeCell="U2" sqref="U2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16" width="5" hidden="1" customWidth="1"/>
    <col min="17" max="34" width="5" customWidth="1"/>
    <col min="35" max="37" width="8.7265625" customWidth="1"/>
    <col min="38" max="41" width="5.54296875" customWidth="1"/>
  </cols>
  <sheetData>
    <row r="1" spans="1:41" ht="14.25" customHeight="1" x14ac:dyDescent="0.35">
      <c r="A1" s="34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1"/>
      <c r="R1" s="1"/>
      <c r="S1" s="1"/>
      <c r="T1" s="1"/>
      <c r="U1" s="1">
        <v>0</v>
      </c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6" t="s">
        <v>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 t="s">
        <v>49</v>
      </c>
    </row>
    <row r="3" spans="1:41" ht="14.25" customHeight="1" x14ac:dyDescent="0.35">
      <c r="A3" s="4" t="s">
        <v>5</v>
      </c>
      <c r="B3" s="4"/>
      <c r="C3" s="4" t="str">
        <f>" : " &amp; IF(AJ2="","",AJ2)</f>
        <v xml:space="preserve"> : TKB2</v>
      </c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6</v>
      </c>
      <c r="B4" s="4"/>
      <c r="C4" s="4" t="str">
        <f>IFERROR(" :  " &amp;VLOOKUP($A$7&amp;$AJ$2,#REF!,6,FALSE), "")</f>
        <v/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7" t="s">
        <v>7</v>
      </c>
      <c r="B5" s="39"/>
      <c r="C5" s="40" t="s">
        <v>8</v>
      </c>
      <c r="D5" s="37" t="s">
        <v>9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9"/>
    </row>
    <row r="6" spans="1:41" ht="14.25" customHeight="1" x14ac:dyDescent="0.35">
      <c r="A6" s="6" t="s">
        <v>10</v>
      </c>
      <c r="B6" s="6" t="s">
        <v>11</v>
      </c>
      <c r="C6" s="41"/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7" t="s">
        <v>19</v>
      </c>
      <c r="L6" s="7" t="s">
        <v>20</v>
      </c>
      <c r="M6" s="7" t="s">
        <v>21</v>
      </c>
      <c r="N6" s="7" t="s">
        <v>22</v>
      </c>
      <c r="O6" s="7" t="s">
        <v>23</v>
      </c>
      <c r="P6" s="7" t="s">
        <v>24</v>
      </c>
      <c r="Q6" s="7" t="s">
        <v>25</v>
      </c>
      <c r="R6" s="7" t="s">
        <v>26</v>
      </c>
      <c r="S6" s="7" t="s">
        <v>27</v>
      </c>
      <c r="T6" s="7" t="s">
        <v>28</v>
      </c>
      <c r="U6" s="7" t="s">
        <v>29</v>
      </c>
      <c r="V6" s="7" t="s">
        <v>30</v>
      </c>
      <c r="W6" s="7" t="s">
        <v>31</v>
      </c>
      <c r="X6" s="7" t="s">
        <v>32</v>
      </c>
      <c r="Y6" s="7" t="s">
        <v>33</v>
      </c>
      <c r="Z6" s="7" t="s">
        <v>34</v>
      </c>
      <c r="AA6" s="7" t="s">
        <v>35</v>
      </c>
      <c r="AB6" s="7" t="s">
        <v>36</v>
      </c>
      <c r="AC6" s="7" t="s">
        <v>37</v>
      </c>
      <c r="AD6" s="7" t="s">
        <v>38</v>
      </c>
      <c r="AE6" s="7" t="s">
        <v>39</v>
      </c>
      <c r="AF6" s="7" t="s">
        <v>40</v>
      </c>
      <c r="AG6" s="7" t="s">
        <v>41</v>
      </c>
      <c r="AH6" s="7" t="s">
        <v>42</v>
      </c>
      <c r="AL6" s="8" t="s">
        <v>1</v>
      </c>
      <c r="AM6" s="8" t="s">
        <v>3</v>
      </c>
      <c r="AN6" s="8" t="s">
        <v>43</v>
      </c>
      <c r="AO6" s="8" t="s">
        <v>44</v>
      </c>
    </row>
    <row r="7" spans="1:41" ht="12" customHeight="1" x14ac:dyDescent="0.35">
      <c r="A7" s="9">
        <v>1</v>
      </c>
      <c r="B7" s="10">
        <f>IFERROR(VLOOKUP(A7&amp;$AJ$2,Data!$A$2:$AM$135,3,FALSE), "")</f>
        <v>1386</v>
      </c>
      <c r="C7" s="11" t="str">
        <f>IFERROR(VLOOKUP(A7&amp;$AJ$2,Data!$A$2:$AM$135,4,FALSE), "")</f>
        <v>Chelsea Valerie</v>
      </c>
      <c r="D7" s="8"/>
      <c r="E7" s="8"/>
      <c r="F7" s="8"/>
      <c r="G7" s="8"/>
      <c r="H7" s="8"/>
      <c r="I7" s="8"/>
      <c r="J7" s="8" t="s">
        <v>3</v>
      </c>
      <c r="K7" s="8"/>
      <c r="L7" s="8"/>
      <c r="M7" s="8"/>
      <c r="N7" s="8"/>
      <c r="O7" s="8"/>
      <c r="P7" s="8"/>
      <c r="Q7" s="8"/>
      <c r="R7" s="33"/>
      <c r="S7" s="8" t="s">
        <v>1</v>
      </c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 t="s">
        <v>1</v>
      </c>
      <c r="AL7" s="8">
        <f t="shared" ref="AL7:AL46" si="0">COUNTIF(D7:AH7,"S")</f>
        <v>1</v>
      </c>
      <c r="AM7" s="8">
        <f t="shared" ref="AM7:AM46" si="1">COUNTIF(D7:AH7,"I")</f>
        <v>1</v>
      </c>
      <c r="AN7" s="8">
        <f t="shared" ref="AN7:AN46" si="2">COUNTIF(D7:AH7,"A")</f>
        <v>0</v>
      </c>
      <c r="AO7" s="8">
        <f t="shared" ref="AO7:AO46" si="3">SUM(AL7:AN7)</f>
        <v>2</v>
      </c>
    </row>
    <row r="8" spans="1:41" ht="12" customHeight="1" x14ac:dyDescent="0.35">
      <c r="A8" s="9">
        <v>2</v>
      </c>
      <c r="B8" s="10">
        <f>IFERROR(VLOOKUP(A8&amp;$AJ$2,Data!$A$2:$AM$135,3,FALSE), "")</f>
        <v>1428</v>
      </c>
      <c r="C8" s="11" t="str">
        <f>IFERROR(VLOOKUP(A8&amp;$AJ$2,Data!$A$2:$AM$135,4,FALSE), "")</f>
        <v>Adrellia Tessya Samantha Sianturi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 t="s">
        <v>3</v>
      </c>
      <c r="AL8" s="8">
        <f t="shared" si="0"/>
        <v>0</v>
      </c>
      <c r="AM8" s="8">
        <f t="shared" si="1"/>
        <v>0</v>
      </c>
      <c r="AN8" s="8">
        <f t="shared" si="2"/>
        <v>0</v>
      </c>
      <c r="AO8" s="8">
        <f t="shared" si="3"/>
        <v>0</v>
      </c>
    </row>
    <row r="9" spans="1:41" ht="12" customHeight="1" x14ac:dyDescent="0.35">
      <c r="A9" s="9">
        <v>3</v>
      </c>
      <c r="B9" s="10">
        <f>IFERROR(VLOOKUP(A9&amp;$AJ$2,Data!$A$2:$AM$135,3,FALSE), "")</f>
        <v>1429</v>
      </c>
      <c r="C9" s="11" t="str">
        <f>IFERROR(VLOOKUP(A9&amp;$AJ$2,Data!$A$2:$AM$135,4,FALSE), "")</f>
        <v>Arfan Ginting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 t="s">
        <v>1</v>
      </c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 t="s">
        <v>43</v>
      </c>
      <c r="AL9" s="8">
        <f t="shared" si="0"/>
        <v>1</v>
      </c>
      <c r="AM9" s="8">
        <f t="shared" si="1"/>
        <v>0</v>
      </c>
      <c r="AN9" s="8">
        <f t="shared" si="2"/>
        <v>0</v>
      </c>
      <c r="AO9" s="8">
        <f t="shared" si="3"/>
        <v>1</v>
      </c>
    </row>
    <row r="10" spans="1:41" ht="12" customHeight="1" x14ac:dyDescent="0.35">
      <c r="A10" s="9">
        <v>4</v>
      </c>
      <c r="B10" s="10">
        <f>IFERROR(VLOOKUP(A10&amp;$AJ$2,Data!$A$2:$AM$135,3,FALSE), "")</f>
        <v>1430</v>
      </c>
      <c r="C10" s="11" t="str">
        <f>IFERROR(VLOOKUP(A10&amp;$AJ$2,Data!$A$2:$AM$135,4,FALSE), "")</f>
        <v>Brienne Nathania Carolyne Pakpahan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K10" s="3" t="s">
        <v>45</v>
      </c>
      <c r="AL10" s="8">
        <f t="shared" si="0"/>
        <v>0</v>
      </c>
      <c r="AM10" s="8">
        <f t="shared" si="1"/>
        <v>0</v>
      </c>
      <c r="AN10" s="8">
        <f t="shared" si="2"/>
        <v>0</v>
      </c>
      <c r="AO10" s="8">
        <f t="shared" si="3"/>
        <v>0</v>
      </c>
    </row>
    <row r="11" spans="1:41" ht="12" customHeight="1" x14ac:dyDescent="0.35">
      <c r="A11" s="9">
        <v>5</v>
      </c>
      <c r="B11" s="10">
        <f>IFERROR(VLOOKUP(A11&amp;$AJ$2,Data!$A$2:$AM$135,3,FALSE), "")</f>
        <v>1432</v>
      </c>
      <c r="C11" s="11" t="str">
        <f>IFERROR(VLOOKUP(A11&amp;$AJ$2,Data!$A$2:$AM$135,4,FALSE), "")</f>
        <v>Chester Tankino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>
        <f t="shared" si="0"/>
        <v>0</v>
      </c>
      <c r="AM11" s="8">
        <f t="shared" si="1"/>
        <v>0</v>
      </c>
      <c r="AN11" s="8">
        <f t="shared" si="2"/>
        <v>0</v>
      </c>
      <c r="AO11" s="8">
        <f t="shared" si="3"/>
        <v>0</v>
      </c>
    </row>
    <row r="12" spans="1:41" ht="12" customHeight="1" x14ac:dyDescent="0.35">
      <c r="A12" s="9">
        <v>6</v>
      </c>
      <c r="B12" s="10">
        <f>IFERROR(VLOOKUP(A12&amp;$AJ$2,Data!$A$2:$AM$135,3,FALSE), "")</f>
        <v>1433</v>
      </c>
      <c r="C12" s="11" t="str">
        <f>IFERROR(VLOOKUP(A12&amp;$AJ$2,Data!$A$2:$AM$135,4,FALSE), "")</f>
        <v>Cristine Dharani</v>
      </c>
      <c r="D12" s="8"/>
      <c r="E12" s="8"/>
      <c r="F12" s="8"/>
      <c r="G12" s="8"/>
      <c r="H12" s="8"/>
      <c r="I12" s="8" t="s">
        <v>1</v>
      </c>
      <c r="J12" s="8"/>
      <c r="K12" s="8" t="s">
        <v>1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L12" s="8">
        <f t="shared" si="0"/>
        <v>2</v>
      </c>
      <c r="AM12" s="8">
        <f t="shared" si="1"/>
        <v>0</v>
      </c>
      <c r="AN12" s="8">
        <f t="shared" si="2"/>
        <v>0</v>
      </c>
      <c r="AO12" s="8">
        <f t="shared" si="3"/>
        <v>2</v>
      </c>
    </row>
    <row r="13" spans="1:41" ht="12" customHeight="1" x14ac:dyDescent="0.35">
      <c r="A13" s="9">
        <v>7</v>
      </c>
      <c r="B13" s="10">
        <f>IFERROR(VLOOKUP(A13&amp;$AJ$2,Data!$A$2:$AM$135,3,FALSE), "")</f>
        <v>1435</v>
      </c>
      <c r="C13" s="11" t="str">
        <f>IFERROR(VLOOKUP(A13&amp;$AJ$2,Data!$A$2:$AM$135,4,FALSE), "")</f>
        <v>Gavinta Elon Siregar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>
        <f t="shared" si="0"/>
        <v>0</v>
      </c>
      <c r="AM13" s="8">
        <f t="shared" si="1"/>
        <v>0</v>
      </c>
      <c r="AN13" s="8">
        <f t="shared" si="2"/>
        <v>0</v>
      </c>
      <c r="AO13" s="8">
        <f t="shared" si="3"/>
        <v>0</v>
      </c>
    </row>
    <row r="14" spans="1:41" ht="12" customHeight="1" x14ac:dyDescent="0.35">
      <c r="A14" s="9">
        <v>8</v>
      </c>
      <c r="B14" s="10">
        <f>IFERROR(VLOOKUP(A14&amp;$AJ$2,Data!$A$2:$AM$135,3,FALSE), "")</f>
        <v>1436</v>
      </c>
      <c r="C14" s="11" t="str">
        <f>IFERROR(VLOOKUP(A14&amp;$AJ$2,Data!$A$2:$AM$135,4,FALSE), "")</f>
        <v>Gavrila Maranatha Maris Panjaitan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>
        <f t="shared" si="0"/>
        <v>0</v>
      </c>
      <c r="AM14" s="8">
        <f t="shared" si="1"/>
        <v>0</v>
      </c>
      <c r="AN14" s="8">
        <f t="shared" si="2"/>
        <v>0</v>
      </c>
      <c r="AO14" s="8">
        <f t="shared" si="3"/>
        <v>0</v>
      </c>
    </row>
    <row r="15" spans="1:41" ht="12" customHeight="1" x14ac:dyDescent="0.35">
      <c r="A15" s="9">
        <v>9</v>
      </c>
      <c r="B15" s="10">
        <f>IFERROR(VLOOKUP(A15&amp;$AJ$2,Data!$A$2:$AM$135,3,FALSE), "")</f>
        <v>1437</v>
      </c>
      <c r="C15" s="11" t="str">
        <f>IFERROR(VLOOKUP(A15&amp;$AJ$2,Data!$A$2:$AM$135,4,FALSE), "")</f>
        <v>Given Ryshaka Simbolon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>
        <f t="shared" si="0"/>
        <v>0</v>
      </c>
      <c r="AM15" s="8">
        <f t="shared" si="1"/>
        <v>0</v>
      </c>
      <c r="AN15" s="8">
        <f t="shared" si="2"/>
        <v>0</v>
      </c>
      <c r="AO15" s="8">
        <f t="shared" si="3"/>
        <v>0</v>
      </c>
    </row>
    <row r="16" spans="1:41" ht="12" customHeight="1" x14ac:dyDescent="0.35">
      <c r="A16" s="9">
        <v>10</v>
      </c>
      <c r="B16" s="10">
        <f>IFERROR(VLOOKUP(A16&amp;$AJ$2,Data!$A$2:$AM$135,3,FALSE), "")</f>
        <v>1438</v>
      </c>
      <c r="C16" s="11" t="str">
        <f>IFERROR(VLOOKUP(A16&amp;$AJ$2,Data!$A$2:$AM$135,4,FALSE), "")</f>
        <v>Joachim Yang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>
        <f t="shared" si="0"/>
        <v>0</v>
      </c>
      <c r="AM16" s="8">
        <f t="shared" si="1"/>
        <v>0</v>
      </c>
      <c r="AN16" s="8">
        <f t="shared" si="2"/>
        <v>0</v>
      </c>
      <c r="AO16" s="8">
        <f t="shared" si="3"/>
        <v>0</v>
      </c>
    </row>
    <row r="17" spans="1:41" ht="12" customHeight="1" x14ac:dyDescent="0.35">
      <c r="A17" s="9">
        <v>11</v>
      </c>
      <c r="B17" s="10">
        <f>IFERROR(VLOOKUP(A17&amp;$AJ$2,Data!$A$2:$AM$135,3,FALSE), "")</f>
        <v>1440</v>
      </c>
      <c r="C17" s="11" t="str">
        <f>IFERROR(VLOOKUP(A17&amp;$AJ$2,Data!$A$2:$AM$135,4,FALSE), "")</f>
        <v>Michelle Kimberly Gui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>
        <f t="shared" si="0"/>
        <v>0</v>
      </c>
      <c r="AM17" s="8">
        <f t="shared" si="1"/>
        <v>0</v>
      </c>
      <c r="AN17" s="8">
        <f t="shared" si="2"/>
        <v>0</v>
      </c>
      <c r="AO17" s="8">
        <f t="shared" si="3"/>
        <v>0</v>
      </c>
    </row>
    <row r="18" spans="1:41" ht="12" customHeight="1" x14ac:dyDescent="0.35">
      <c r="A18" s="9">
        <v>12</v>
      </c>
      <c r="B18" s="10">
        <f>IFERROR(VLOOKUP(A18&amp;$AJ$2,Data!$A$2:$AM$135,3,FALSE), "")</f>
        <v>1442</v>
      </c>
      <c r="C18" s="11" t="str">
        <f>IFERROR(VLOOKUP(A18&amp;$AJ$2,Data!$A$2:$AM$135,4,FALSE), "")</f>
        <v>Pangeran Hagro Haloho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>
        <f t="shared" si="0"/>
        <v>0</v>
      </c>
      <c r="AM18" s="8">
        <f t="shared" si="1"/>
        <v>0</v>
      </c>
      <c r="AN18" s="8">
        <f t="shared" si="2"/>
        <v>0</v>
      </c>
      <c r="AO18" s="8">
        <f t="shared" si="3"/>
        <v>0</v>
      </c>
    </row>
    <row r="19" spans="1:41" ht="12" customHeight="1" x14ac:dyDescent="0.35">
      <c r="A19" s="9">
        <v>13</v>
      </c>
      <c r="B19" s="10">
        <f>IFERROR(VLOOKUP(A19&amp;$AJ$2,Data!$A$2:$AM$135,3,FALSE), "")</f>
        <v>1443</v>
      </c>
      <c r="C19" s="11" t="str">
        <f>IFERROR(VLOOKUP(A19&amp;$AJ$2,Data!$A$2:$AM$135,4,FALSE), "")</f>
        <v>Pedro Karvinta Sembiring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>
        <f t="shared" si="0"/>
        <v>0</v>
      </c>
      <c r="AM19" s="8">
        <f t="shared" si="1"/>
        <v>0</v>
      </c>
      <c r="AN19" s="8">
        <f t="shared" si="2"/>
        <v>0</v>
      </c>
      <c r="AO19" s="8">
        <f t="shared" si="3"/>
        <v>0</v>
      </c>
    </row>
    <row r="20" spans="1:41" ht="12" customHeight="1" x14ac:dyDescent="0.35">
      <c r="A20" s="9">
        <v>14</v>
      </c>
      <c r="B20" s="10">
        <f>IFERROR(VLOOKUP(A20&amp;$AJ$2,Data!$A$2:$AM$135,3,FALSE), "")</f>
        <v>1444</v>
      </c>
      <c r="C20" s="11" t="str">
        <f>IFERROR(VLOOKUP(A20&amp;$AJ$2,Data!$A$2:$AM$135,4,FALSE), "")</f>
        <v>Richa Dwily</v>
      </c>
      <c r="D20" s="8" t="s">
        <v>1</v>
      </c>
      <c r="E20" s="8" t="s">
        <v>1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L20" s="8">
        <f t="shared" si="0"/>
        <v>2</v>
      </c>
      <c r="AM20" s="8">
        <f t="shared" si="1"/>
        <v>0</v>
      </c>
      <c r="AN20" s="8">
        <f t="shared" si="2"/>
        <v>0</v>
      </c>
      <c r="AO20" s="8">
        <f t="shared" si="3"/>
        <v>2</v>
      </c>
    </row>
    <row r="21" spans="1:41" ht="12" customHeight="1" x14ac:dyDescent="0.35">
      <c r="A21" s="9">
        <v>15</v>
      </c>
      <c r="B21" s="10">
        <f>IFERROR(VLOOKUP(A21&amp;$AJ$2,Data!$A$2:$AM$135,3,FALSE), "")</f>
        <v>1445</v>
      </c>
      <c r="C21" s="11" t="str">
        <f>IFERROR(VLOOKUP(A21&amp;$AJ$2,Data!$A$2:$AM$135,4,FALSE), "")</f>
        <v>Robyn Imanuel Louis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>
        <f t="shared" si="0"/>
        <v>0</v>
      </c>
      <c r="AM21" s="8">
        <f t="shared" si="1"/>
        <v>0</v>
      </c>
      <c r="AN21" s="8">
        <f t="shared" si="2"/>
        <v>0</v>
      </c>
      <c r="AO21" s="8">
        <f t="shared" si="3"/>
        <v>0</v>
      </c>
    </row>
    <row r="22" spans="1:41" ht="12" customHeight="1" x14ac:dyDescent="0.35">
      <c r="A22" s="9">
        <v>16</v>
      </c>
      <c r="B22" s="10">
        <f>IFERROR(VLOOKUP(A22&amp;$AJ$2,Data!$A$2:$AM$135,3,FALSE), "")</f>
        <v>1446</v>
      </c>
      <c r="C22" s="11" t="str">
        <f>IFERROR(VLOOKUP(A22&amp;$AJ$2,Data!$A$2:$AM$135,4,FALSE), "")</f>
        <v>Shayna Amoureyza Sitepu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>
        <f t="shared" si="0"/>
        <v>0</v>
      </c>
      <c r="AM22" s="8">
        <f t="shared" si="1"/>
        <v>0</v>
      </c>
      <c r="AN22" s="8">
        <f t="shared" si="2"/>
        <v>0</v>
      </c>
      <c r="AO22" s="8">
        <f t="shared" si="3"/>
        <v>0</v>
      </c>
    </row>
    <row r="23" spans="1:41" ht="12" customHeight="1" x14ac:dyDescent="0.35">
      <c r="A23" s="9">
        <v>17</v>
      </c>
      <c r="B23" s="10">
        <f>IFERROR(VLOOKUP(A23&amp;$AJ$2,Data!$A$2:$AM$135,3,FALSE), "")</f>
        <v>1447</v>
      </c>
      <c r="C23" s="11" t="str">
        <f>IFERROR(VLOOKUP(A23&amp;$AJ$2,Data!$A$2:$AM$135,4,FALSE), "")</f>
        <v>Stevia Chrisela Chai</v>
      </c>
      <c r="D23" s="8"/>
      <c r="E23" s="8"/>
      <c r="F23" s="8"/>
      <c r="G23" s="8"/>
      <c r="H23" s="8"/>
      <c r="I23" s="8"/>
      <c r="J23" s="8"/>
      <c r="K23" s="8"/>
      <c r="L23" s="8" t="s">
        <v>1</v>
      </c>
      <c r="M23" s="8"/>
      <c r="N23" s="8"/>
      <c r="O23" s="8"/>
      <c r="P23" s="8" t="s">
        <v>1</v>
      </c>
      <c r="Q23" s="8" t="s">
        <v>1</v>
      </c>
      <c r="R23" s="8" t="s">
        <v>1</v>
      </c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>
        <f t="shared" si="0"/>
        <v>4</v>
      </c>
      <c r="AM23" s="8">
        <f t="shared" si="1"/>
        <v>0</v>
      </c>
      <c r="AN23" s="8">
        <f t="shared" si="2"/>
        <v>0</v>
      </c>
      <c r="AO23" s="8">
        <f t="shared" si="3"/>
        <v>4</v>
      </c>
    </row>
    <row r="24" spans="1:41" ht="12" customHeight="1" x14ac:dyDescent="0.35">
      <c r="A24" s="9">
        <v>18</v>
      </c>
      <c r="B24" s="10">
        <f>IFERROR(VLOOKUP(A24&amp;$AJ$2,Data!$A$2:$AM$135,3,FALSE), "")</f>
        <v>1448</v>
      </c>
      <c r="C24" s="11" t="str">
        <f>IFERROR(VLOOKUP(A24&amp;$AJ$2,Data!$A$2:$AM$135,4,FALSE), "")</f>
        <v>Theo Rafa Pakpahan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>
        <f t="shared" si="0"/>
        <v>0</v>
      </c>
      <c r="AM24" s="8">
        <f t="shared" si="1"/>
        <v>0</v>
      </c>
      <c r="AN24" s="8">
        <f t="shared" si="2"/>
        <v>0</v>
      </c>
      <c r="AO24" s="8">
        <f t="shared" si="3"/>
        <v>0</v>
      </c>
    </row>
    <row r="25" spans="1:41" ht="12" customHeight="1" x14ac:dyDescent="0.35">
      <c r="A25" s="9">
        <v>19</v>
      </c>
      <c r="B25" s="10">
        <f>IFERROR(VLOOKUP(A25&amp;$AJ$2,Data!$A$2:$AM$135,3,FALSE), "")</f>
        <v>1451</v>
      </c>
      <c r="C25" s="11" t="str">
        <f>IFERROR(VLOOKUP(A25&amp;$AJ$2,Data!$A$2:$AM$135,4,FALSE), "")</f>
        <v>Vinnie Gea Halim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>
        <f t="shared" si="0"/>
        <v>0</v>
      </c>
      <c r="AM25" s="8">
        <f t="shared" si="1"/>
        <v>0</v>
      </c>
      <c r="AN25" s="8">
        <f t="shared" si="2"/>
        <v>0</v>
      </c>
      <c r="AO25" s="8">
        <f t="shared" si="3"/>
        <v>0</v>
      </c>
    </row>
    <row r="26" spans="1:41" ht="12" customHeight="1" x14ac:dyDescent="0.35">
      <c r="A26" s="9">
        <v>20</v>
      </c>
      <c r="B26" s="10">
        <f>IFERROR(VLOOKUP(A26&amp;$AJ$2,Data!$A$2:$AM$135,3,FALSE), "")</f>
        <v>1452</v>
      </c>
      <c r="C26" s="11" t="str">
        <f>IFERROR(VLOOKUP(A26&amp;$AJ$2,Data!$A$2:$AM$135,4,FALSE), "")</f>
        <v>Abercio Kiano Drake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>
        <f t="shared" si="0"/>
        <v>0</v>
      </c>
      <c r="AM26" s="8">
        <f t="shared" si="1"/>
        <v>0</v>
      </c>
      <c r="AN26" s="8">
        <f t="shared" si="2"/>
        <v>0</v>
      </c>
      <c r="AO26" s="8">
        <f t="shared" si="3"/>
        <v>0</v>
      </c>
    </row>
    <row r="27" spans="1:41" ht="12" customHeight="1" x14ac:dyDescent="0.35">
      <c r="A27" s="9">
        <v>21</v>
      </c>
      <c r="B27" s="10">
        <f>IFERROR(VLOOKUP(A27&amp;$AJ$2,Data!$A$2:$AM$135,3,FALSE), "")</f>
        <v>1453</v>
      </c>
      <c r="C27" s="11" t="str">
        <f>IFERROR(VLOOKUP(A27&amp;$AJ$2,Data!$A$2:$AM$135,4,FALSE), "")</f>
        <v>Aleysia Callista Br Ompusunggu</v>
      </c>
      <c r="D27" s="8"/>
      <c r="E27" s="8"/>
      <c r="F27" s="8"/>
      <c r="G27" s="8"/>
      <c r="H27" s="8"/>
      <c r="I27" s="8"/>
      <c r="J27" s="8"/>
      <c r="K27" s="8"/>
      <c r="L27" s="8" t="s">
        <v>1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>
        <f t="shared" si="0"/>
        <v>1</v>
      </c>
      <c r="AM27" s="8">
        <f t="shared" si="1"/>
        <v>0</v>
      </c>
      <c r="AN27" s="8">
        <f t="shared" si="2"/>
        <v>0</v>
      </c>
      <c r="AO27" s="8">
        <f t="shared" si="3"/>
        <v>1</v>
      </c>
    </row>
    <row r="28" spans="1:41" ht="12" customHeight="1" x14ac:dyDescent="0.35">
      <c r="A28" s="9">
        <v>22</v>
      </c>
      <c r="B28" s="10">
        <f>IFERROR(VLOOKUP(A28&amp;$AJ$2,Data!$A$2:$AM$135,3,FALSE), "")</f>
        <v>1454</v>
      </c>
      <c r="C28" s="11" t="str">
        <f>IFERROR(VLOOKUP(A28&amp;$AJ$2,Data!$A$2:$AM$135,4,FALSE), "")</f>
        <v>Alvaro Gavriel Karo Karo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 t="s">
        <v>1</v>
      </c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>
        <f t="shared" si="0"/>
        <v>1</v>
      </c>
      <c r="AM28" s="8">
        <f t="shared" si="1"/>
        <v>0</v>
      </c>
      <c r="AN28" s="8">
        <f t="shared" si="2"/>
        <v>0</v>
      </c>
      <c r="AO28" s="8">
        <f t="shared" si="3"/>
        <v>1</v>
      </c>
    </row>
    <row r="29" spans="1:41" ht="12" customHeight="1" x14ac:dyDescent="0.35">
      <c r="A29" s="9">
        <v>23</v>
      </c>
      <c r="B29" s="10">
        <f>IFERROR(VLOOKUP(A29&amp;$AJ$2,Data!$A$2:$AM$135,3,FALSE), "")</f>
        <v>1455</v>
      </c>
      <c r="C29" s="11" t="str">
        <f>IFERROR(VLOOKUP(A29&amp;$AJ$2,Data!$A$2:$AM$135,4,FALSE), "")</f>
        <v>Bryan Maxwell Angkasa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>
        <f t="shared" si="0"/>
        <v>0</v>
      </c>
      <c r="AM29" s="8">
        <f t="shared" si="1"/>
        <v>0</v>
      </c>
      <c r="AN29" s="8">
        <f t="shared" si="2"/>
        <v>0</v>
      </c>
      <c r="AO29" s="8">
        <f t="shared" si="3"/>
        <v>0</v>
      </c>
    </row>
    <row r="30" spans="1:41" ht="12" customHeight="1" x14ac:dyDescent="0.35">
      <c r="A30" s="9">
        <v>24</v>
      </c>
      <c r="B30" s="10">
        <f>IFERROR(VLOOKUP(A30&amp;$AJ$2,Data!$A$2:$AM$135,3,FALSE), "")</f>
        <v>1456</v>
      </c>
      <c r="C30" s="11" t="str">
        <f>IFERROR(VLOOKUP(A30&amp;$AJ$2,Data!$A$2:$AM$135,4,FALSE), "")</f>
        <v>Christine Laotan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>
        <f t="shared" si="0"/>
        <v>0</v>
      </c>
      <c r="AM30" s="8">
        <f t="shared" si="1"/>
        <v>0</v>
      </c>
      <c r="AN30" s="8">
        <f t="shared" si="2"/>
        <v>0</v>
      </c>
      <c r="AO30" s="8">
        <f t="shared" si="3"/>
        <v>0</v>
      </c>
    </row>
    <row r="31" spans="1:41" ht="12" customHeight="1" x14ac:dyDescent="0.35">
      <c r="A31" s="9">
        <v>25</v>
      </c>
      <c r="B31" s="10">
        <f>IFERROR(VLOOKUP(A31&amp;$AJ$2,Data!$A$2:$AM$135,3,FALSE), "")</f>
        <v>1457</v>
      </c>
      <c r="C31" s="11" t="str">
        <f>IFERROR(VLOOKUP(A31&amp;$AJ$2,Data!$A$2:$AM$135,4,FALSE), "")</f>
        <v>Claudia Zetta Br Tarigan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 t="s">
        <v>1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>
        <f t="shared" si="0"/>
        <v>1</v>
      </c>
      <c r="AM31" s="8">
        <f t="shared" si="1"/>
        <v>0</v>
      </c>
      <c r="AN31" s="8">
        <f t="shared" si="2"/>
        <v>0</v>
      </c>
      <c r="AO31" s="8">
        <f t="shared" si="3"/>
        <v>1</v>
      </c>
    </row>
    <row r="32" spans="1:41" ht="12" customHeight="1" x14ac:dyDescent="0.35">
      <c r="A32" s="9">
        <v>26</v>
      </c>
      <c r="B32" s="10">
        <f>IFERROR(VLOOKUP(A32&amp;$AJ$2,Data!$A$2:$AM$135,3,FALSE), "")</f>
        <v>1458</v>
      </c>
      <c r="C32" s="11" t="str">
        <f>IFERROR(VLOOKUP(A32&amp;$AJ$2,Data!$A$2:$AM$135,4,FALSE), "")</f>
        <v>Daven Gavriel Winlie</v>
      </c>
      <c r="D32" s="8" t="s">
        <v>1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>
        <f t="shared" si="0"/>
        <v>1</v>
      </c>
      <c r="AM32" s="8">
        <f t="shared" si="1"/>
        <v>0</v>
      </c>
      <c r="AN32" s="8">
        <f t="shared" si="2"/>
        <v>0</v>
      </c>
      <c r="AO32" s="8">
        <f t="shared" si="3"/>
        <v>1</v>
      </c>
    </row>
    <row r="33" spans="1:41" ht="12" customHeight="1" x14ac:dyDescent="0.35">
      <c r="A33" s="9">
        <v>27</v>
      </c>
      <c r="B33" s="10">
        <f>IFERROR(VLOOKUP(A33&amp;$AJ$2,Data!$A$2:$AM$135,3,FALSE), "")</f>
        <v>1461</v>
      </c>
      <c r="C33" s="11" t="str">
        <f>IFERROR(VLOOKUP(A33&amp;$AJ$2,Data!$A$2:$AM$135,4,FALSE), "")</f>
        <v>Felix Louis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>
        <f t="shared" si="0"/>
        <v>0</v>
      </c>
      <c r="AM33" s="8">
        <f t="shared" si="1"/>
        <v>0</v>
      </c>
      <c r="AN33" s="8">
        <f t="shared" si="2"/>
        <v>0</v>
      </c>
      <c r="AO33" s="8">
        <f t="shared" si="3"/>
        <v>0</v>
      </c>
    </row>
    <row r="34" spans="1:41" ht="12" customHeight="1" x14ac:dyDescent="0.35">
      <c r="A34" s="9">
        <v>28</v>
      </c>
      <c r="B34" s="10">
        <f>IFERROR(VLOOKUP(A34&amp;$AJ$2,Data!$A$2:$AM$135,3,FALSE), "")</f>
        <v>1462</v>
      </c>
      <c r="C34" s="11" t="str">
        <f>IFERROR(VLOOKUP(A34&amp;$AJ$2,Data!$A$2:$AM$135,4,FALSE), "")</f>
        <v>Glerine Richya Tumanggor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 t="s">
        <v>1</v>
      </c>
      <c r="S34" s="8" t="s">
        <v>1</v>
      </c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>
        <f t="shared" si="0"/>
        <v>2</v>
      </c>
      <c r="AM34" s="8">
        <f t="shared" si="1"/>
        <v>0</v>
      </c>
      <c r="AN34" s="8">
        <f t="shared" si="2"/>
        <v>0</v>
      </c>
      <c r="AO34" s="8">
        <f t="shared" si="3"/>
        <v>2</v>
      </c>
    </row>
    <row r="35" spans="1:41" ht="12" customHeight="1" x14ac:dyDescent="0.35">
      <c r="A35" s="9">
        <v>29</v>
      </c>
      <c r="B35" s="10">
        <f>IFERROR(VLOOKUP(A35&amp;$AJ$2,Data!$A$2:$AM$135,3,FALSE), "")</f>
        <v>1463</v>
      </c>
      <c r="C35" s="11" t="str">
        <f>IFERROR(VLOOKUP(A35&amp;$AJ$2,Data!$A$2:$AM$135,4,FALSE), "")</f>
        <v>Grace Nataly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>
        <f t="shared" si="0"/>
        <v>0</v>
      </c>
      <c r="AM35" s="8">
        <f t="shared" si="1"/>
        <v>0</v>
      </c>
      <c r="AN35" s="8">
        <f t="shared" si="2"/>
        <v>0</v>
      </c>
      <c r="AO35" s="8">
        <f t="shared" si="3"/>
        <v>0</v>
      </c>
    </row>
    <row r="36" spans="1:41" ht="12" customHeight="1" x14ac:dyDescent="0.35">
      <c r="A36" s="9">
        <v>30</v>
      </c>
      <c r="B36" s="10">
        <f>IFERROR(VLOOKUP(A36&amp;$AJ$2,Data!$A$2:$AM$135,3,FALSE), "")</f>
        <v>1465</v>
      </c>
      <c r="C36" s="11" t="str">
        <f>IFERROR(VLOOKUP(A36&amp;$AJ$2,Data!$A$2:$AM$135,4,FALSE), "")</f>
        <v>Greysia Dhita Panggabean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>
        <f t="shared" si="0"/>
        <v>0</v>
      </c>
      <c r="AM36" s="8">
        <f t="shared" si="1"/>
        <v>0</v>
      </c>
      <c r="AN36" s="8">
        <f t="shared" si="2"/>
        <v>0</v>
      </c>
      <c r="AO36" s="8">
        <f t="shared" si="3"/>
        <v>0</v>
      </c>
    </row>
    <row r="37" spans="1:41" ht="12" customHeight="1" x14ac:dyDescent="0.35">
      <c r="A37" s="9">
        <v>31</v>
      </c>
      <c r="B37" s="10">
        <f>IFERROR(VLOOKUP(A37&amp;$AJ$2,Data!$A$2:$AM$135,3,FALSE), "")</f>
        <v>1466</v>
      </c>
      <c r="C37" s="11" t="str">
        <f>IFERROR(VLOOKUP(A37&amp;$AJ$2,Data!$A$2:$AM$135,4,FALSE), "")</f>
        <v>Jasmine Valerie Yap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 t="s">
        <v>1</v>
      </c>
      <c r="Q37" s="8" t="s">
        <v>1</v>
      </c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>
        <f t="shared" si="0"/>
        <v>2</v>
      </c>
      <c r="AM37" s="8">
        <f t="shared" si="1"/>
        <v>0</v>
      </c>
      <c r="AN37" s="8">
        <f t="shared" si="2"/>
        <v>0</v>
      </c>
      <c r="AO37" s="8">
        <f t="shared" si="3"/>
        <v>2</v>
      </c>
    </row>
    <row r="38" spans="1:41" ht="12" customHeight="1" x14ac:dyDescent="0.35">
      <c r="A38" s="9">
        <v>32</v>
      </c>
      <c r="B38" s="10">
        <f>IFERROR(VLOOKUP(A38&amp;$AJ$2,Data!$A$2:$AM$135,3,FALSE), "")</f>
        <v>1468</v>
      </c>
      <c r="C38" s="11" t="str">
        <f>IFERROR(VLOOKUP(A38&amp;$AJ$2,Data!$A$2:$AM$135,4,FALSE), "")</f>
        <v>Kenstein Elton Lim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 t="s">
        <v>1</v>
      </c>
      <c r="Q38" s="8" t="s">
        <v>1</v>
      </c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>
        <f t="shared" si="0"/>
        <v>2</v>
      </c>
      <c r="AM38" s="8">
        <f t="shared" si="1"/>
        <v>0</v>
      </c>
      <c r="AN38" s="8">
        <f t="shared" si="2"/>
        <v>0</v>
      </c>
      <c r="AO38" s="8">
        <f t="shared" si="3"/>
        <v>2</v>
      </c>
    </row>
    <row r="39" spans="1:41" ht="12" customHeight="1" x14ac:dyDescent="0.35">
      <c r="A39" s="9">
        <v>33</v>
      </c>
      <c r="B39" s="10">
        <f>IFERROR(VLOOKUP(A39&amp;$AJ$2,Data!$A$2:$AM$135,3,FALSE), "")</f>
        <v>1470</v>
      </c>
      <c r="C39" s="11" t="str">
        <f>IFERROR(VLOOKUP(A39&amp;$AJ$2,Data!$A$2:$AM$135,4,FALSE), "")</f>
        <v>Kenzo Kiano</v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>
        <f t="shared" si="0"/>
        <v>0</v>
      </c>
      <c r="AM39" s="8">
        <f t="shared" si="1"/>
        <v>0</v>
      </c>
      <c r="AN39" s="8">
        <f t="shared" si="2"/>
        <v>0</v>
      </c>
      <c r="AO39" s="8">
        <f t="shared" si="3"/>
        <v>0</v>
      </c>
    </row>
    <row r="40" spans="1:41" ht="12" customHeight="1" x14ac:dyDescent="0.35">
      <c r="A40" s="9">
        <v>34</v>
      </c>
      <c r="B40" s="10">
        <f>IFERROR(VLOOKUP(A40&amp;$AJ$2,Data!$A$2:$AM$135,3,FALSE), "")</f>
        <v>1471</v>
      </c>
      <c r="C40" s="11" t="str">
        <f>IFERROR(VLOOKUP(A40&amp;$AJ$2,Data!$A$2:$AM$135,4,FALSE), "")</f>
        <v>Marquez Boas Aritonang</v>
      </c>
      <c r="D40" s="8" t="s">
        <v>3</v>
      </c>
      <c r="E40" s="8" t="s">
        <v>43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 t="s">
        <v>1</v>
      </c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>
        <f t="shared" si="0"/>
        <v>1</v>
      </c>
      <c r="AM40" s="8">
        <f t="shared" si="1"/>
        <v>1</v>
      </c>
      <c r="AN40" s="8">
        <f t="shared" si="2"/>
        <v>1</v>
      </c>
      <c r="AO40" s="8">
        <f t="shared" si="3"/>
        <v>3</v>
      </c>
    </row>
    <row r="41" spans="1:41" ht="12" customHeight="1" x14ac:dyDescent="0.35">
      <c r="A41" s="9">
        <v>35</v>
      </c>
      <c r="B41" s="10">
        <f>IFERROR(VLOOKUP(A41&amp;$AJ$2,Data!$A$2:$AM$135,3,FALSE), "")</f>
        <v>1472</v>
      </c>
      <c r="C41" s="11" t="str">
        <f>IFERROR(VLOOKUP(A41&amp;$AJ$2,Data!$A$2:$AM$135,4,FALSE), "")</f>
        <v>Peter Djuandi</v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>
        <f t="shared" si="0"/>
        <v>0</v>
      </c>
      <c r="AM41" s="8">
        <f t="shared" si="1"/>
        <v>0</v>
      </c>
      <c r="AN41" s="8">
        <f t="shared" si="2"/>
        <v>0</v>
      </c>
      <c r="AO41" s="8">
        <f t="shared" si="3"/>
        <v>0</v>
      </c>
    </row>
    <row r="42" spans="1:41" ht="12" customHeight="1" x14ac:dyDescent="0.35">
      <c r="A42" s="9">
        <v>36</v>
      </c>
      <c r="B42" s="10">
        <f>IFERROR(VLOOKUP(A42&amp;$AJ$2,Data!$A$2:$AM$135,3,FALSE), "")</f>
        <v>1475</v>
      </c>
      <c r="C42" s="11" t="str">
        <f>IFERROR(VLOOKUP(A42&amp;$AJ$2,Data!$A$2:$AM$135,4,FALSE), "")</f>
        <v>Hiromi Sheena Silalahi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>
        <f t="shared" si="0"/>
        <v>0</v>
      </c>
      <c r="AM42" s="8">
        <f t="shared" si="1"/>
        <v>0</v>
      </c>
      <c r="AN42" s="8">
        <f t="shared" si="2"/>
        <v>0</v>
      </c>
      <c r="AO42" s="8">
        <f t="shared" si="3"/>
        <v>0</v>
      </c>
    </row>
    <row r="43" spans="1:41" ht="14.25" customHeight="1" x14ac:dyDescent="0.35">
      <c r="A43" s="9">
        <v>37</v>
      </c>
      <c r="B43" s="10" t="str">
        <f>IFERROR(VLOOKUP(A43&amp;$AJ$2,Data!$A$2:$AM$135,3,FALSE), "")</f>
        <v/>
      </c>
      <c r="C43" s="11" t="str">
        <f>IFERROR(VLOOKUP(A43&amp;$AJ$2,Data!$A$2:$AM$135,4,FALSE), "")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>
        <f t="shared" si="0"/>
        <v>0</v>
      </c>
      <c r="AM43" s="8">
        <f t="shared" si="1"/>
        <v>0</v>
      </c>
      <c r="AN43" s="8">
        <f t="shared" si="2"/>
        <v>0</v>
      </c>
      <c r="AO43" s="8">
        <f t="shared" si="3"/>
        <v>0</v>
      </c>
    </row>
    <row r="44" spans="1:41" ht="14.25" customHeight="1" x14ac:dyDescent="0.35">
      <c r="A44" s="9">
        <v>38</v>
      </c>
      <c r="B44" s="10" t="str">
        <f>IFERROR(VLOOKUP(A44&amp;$AJ$2,Data!$A$2:$AM$135,3,FALSE), "")</f>
        <v/>
      </c>
      <c r="C44" s="11" t="str">
        <f>IFERROR(VLOOKUP(A44&amp;$AJ$2,Data!$A$2:$AM$135,4,FALSE), "")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>
        <f t="shared" si="0"/>
        <v>0</v>
      </c>
      <c r="AM44" s="8">
        <f t="shared" si="1"/>
        <v>0</v>
      </c>
      <c r="AN44" s="8">
        <f t="shared" si="2"/>
        <v>0</v>
      </c>
      <c r="AO44" s="8">
        <f t="shared" si="3"/>
        <v>0</v>
      </c>
    </row>
    <row r="45" spans="1:41" ht="14.25" customHeight="1" x14ac:dyDescent="0.35">
      <c r="A45" s="9">
        <v>39</v>
      </c>
      <c r="B45" s="10" t="str">
        <f>IFERROR(VLOOKUP(A45&amp;$AJ$2,Data!$A$2:$AM$135,3,FALSE), "")</f>
        <v/>
      </c>
      <c r="C45" s="11" t="str">
        <f>IFERROR(VLOOKUP(A45&amp;$AJ$2,Data!$A$2:$AM$135,4,FALSE), "")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>
        <f t="shared" si="0"/>
        <v>0</v>
      </c>
      <c r="AM45" s="8">
        <f t="shared" si="1"/>
        <v>0</v>
      </c>
      <c r="AN45" s="8">
        <f t="shared" si="2"/>
        <v>0</v>
      </c>
      <c r="AO45" s="8">
        <f t="shared" si="3"/>
        <v>0</v>
      </c>
    </row>
    <row r="46" spans="1:41" ht="14.25" customHeight="1" x14ac:dyDescent="0.35">
      <c r="A46" s="9">
        <v>40</v>
      </c>
      <c r="B46" s="10" t="str">
        <f>IFERROR(VLOOKUP(A46&amp;$AJ$2,Data!$A$2:$AM$131,3,FALSE), "")</f>
        <v/>
      </c>
      <c r="C46" s="11" t="str">
        <f>IFERROR(VLOOKUP(A46&amp;$AJ$2,Data!$A$2:$AM$131,4,FALSE), "")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>
        <f t="shared" si="0"/>
        <v>0</v>
      </c>
      <c r="AM46" s="8">
        <f t="shared" si="1"/>
        <v>0</v>
      </c>
      <c r="AN46" s="8">
        <f t="shared" si="2"/>
        <v>0</v>
      </c>
      <c r="AO46" s="8">
        <f t="shared" si="3"/>
        <v>0</v>
      </c>
    </row>
    <row r="47" spans="1:41" ht="14.25" customHeight="1" x14ac:dyDescent="0.35"/>
    <row r="48" spans="1:41" ht="14.25" customHeight="1" x14ac:dyDescent="0.35"/>
    <row r="49" spans="3:34" ht="14.25" customHeight="1" x14ac:dyDescent="0.35">
      <c r="C49" s="3" t="s">
        <v>1</v>
      </c>
      <c r="D49" s="15">
        <f t="shared" ref="D49:AH49" si="4">COUNTIF(D7:D47,"S")</f>
        <v>2</v>
      </c>
      <c r="E49" s="15">
        <f t="shared" si="4"/>
        <v>1</v>
      </c>
      <c r="F49" s="15">
        <f t="shared" si="4"/>
        <v>0</v>
      </c>
      <c r="G49" s="15">
        <f t="shared" si="4"/>
        <v>0</v>
      </c>
      <c r="H49" s="15">
        <f t="shared" si="4"/>
        <v>0</v>
      </c>
      <c r="I49" s="15">
        <f t="shared" si="4"/>
        <v>1</v>
      </c>
      <c r="J49" s="15">
        <f t="shared" si="4"/>
        <v>0</v>
      </c>
      <c r="K49" s="15">
        <f t="shared" si="4"/>
        <v>1</v>
      </c>
      <c r="L49" s="15">
        <f t="shared" si="4"/>
        <v>2</v>
      </c>
      <c r="M49" s="15">
        <f t="shared" si="4"/>
        <v>0</v>
      </c>
      <c r="N49" s="15">
        <f t="shared" si="4"/>
        <v>0</v>
      </c>
      <c r="O49" s="15">
        <f t="shared" si="4"/>
        <v>0</v>
      </c>
      <c r="P49" s="15">
        <f t="shared" si="4"/>
        <v>4</v>
      </c>
      <c r="Q49" s="15">
        <f t="shared" si="4"/>
        <v>4</v>
      </c>
      <c r="R49" s="15">
        <f t="shared" si="4"/>
        <v>3</v>
      </c>
      <c r="S49" s="15">
        <f t="shared" si="4"/>
        <v>3</v>
      </c>
      <c r="T49" s="15">
        <f t="shared" si="4"/>
        <v>0</v>
      </c>
      <c r="U49" s="15">
        <f t="shared" si="4"/>
        <v>0</v>
      </c>
      <c r="V49" s="15">
        <f t="shared" si="4"/>
        <v>0</v>
      </c>
      <c r="W49" s="15">
        <f t="shared" si="4"/>
        <v>0</v>
      </c>
      <c r="X49" s="15">
        <f t="shared" si="4"/>
        <v>0</v>
      </c>
      <c r="Y49" s="15">
        <f t="shared" si="4"/>
        <v>0</v>
      </c>
      <c r="Z49" s="15">
        <f t="shared" si="4"/>
        <v>0</v>
      </c>
      <c r="AA49" s="15">
        <f t="shared" si="4"/>
        <v>0</v>
      </c>
      <c r="AB49" s="15">
        <f t="shared" si="4"/>
        <v>0</v>
      </c>
      <c r="AC49" s="15">
        <f t="shared" si="4"/>
        <v>0</v>
      </c>
      <c r="AD49" s="15">
        <f t="shared" si="4"/>
        <v>0</v>
      </c>
      <c r="AE49" s="15">
        <f t="shared" si="4"/>
        <v>0</v>
      </c>
      <c r="AF49" s="15">
        <f t="shared" si="4"/>
        <v>0</v>
      </c>
      <c r="AG49" s="15">
        <f t="shared" si="4"/>
        <v>0</v>
      </c>
      <c r="AH49" s="15">
        <f t="shared" si="4"/>
        <v>0</v>
      </c>
    </row>
    <row r="50" spans="3:34" ht="14.25" customHeight="1" x14ac:dyDescent="0.35">
      <c r="C50" s="3" t="s">
        <v>3</v>
      </c>
      <c r="D50" s="15">
        <f t="shared" ref="D50:AH50" si="5">COUNTIF(D7:D47,"I")</f>
        <v>1</v>
      </c>
      <c r="E50" s="15">
        <f t="shared" si="5"/>
        <v>0</v>
      </c>
      <c r="F50" s="15">
        <f t="shared" si="5"/>
        <v>0</v>
      </c>
      <c r="G50" s="15">
        <f t="shared" si="5"/>
        <v>0</v>
      </c>
      <c r="H50" s="15">
        <f t="shared" si="5"/>
        <v>0</v>
      </c>
      <c r="I50" s="15">
        <f t="shared" si="5"/>
        <v>0</v>
      </c>
      <c r="J50" s="15">
        <f t="shared" si="5"/>
        <v>1</v>
      </c>
      <c r="K50" s="15">
        <f t="shared" si="5"/>
        <v>0</v>
      </c>
      <c r="L50" s="15">
        <f t="shared" si="5"/>
        <v>0</v>
      </c>
      <c r="M50" s="15">
        <f t="shared" si="5"/>
        <v>0</v>
      </c>
      <c r="N50" s="15">
        <f t="shared" si="5"/>
        <v>0</v>
      </c>
      <c r="O50" s="15">
        <f t="shared" si="5"/>
        <v>0</v>
      </c>
      <c r="P50" s="15">
        <f t="shared" si="5"/>
        <v>0</v>
      </c>
      <c r="Q50" s="15">
        <f t="shared" si="5"/>
        <v>0</v>
      </c>
      <c r="R50" s="15">
        <f t="shared" si="5"/>
        <v>0</v>
      </c>
      <c r="S50" s="15">
        <f t="shared" si="5"/>
        <v>0</v>
      </c>
      <c r="T50" s="15">
        <f t="shared" si="5"/>
        <v>0</v>
      </c>
      <c r="U50" s="15">
        <f t="shared" si="5"/>
        <v>0</v>
      </c>
      <c r="V50" s="15">
        <f t="shared" si="5"/>
        <v>0</v>
      </c>
      <c r="W50" s="15">
        <f t="shared" si="5"/>
        <v>0</v>
      </c>
      <c r="X50" s="15">
        <f t="shared" si="5"/>
        <v>0</v>
      </c>
      <c r="Y50" s="15">
        <f t="shared" si="5"/>
        <v>0</v>
      </c>
      <c r="Z50" s="15">
        <f t="shared" si="5"/>
        <v>0</v>
      </c>
      <c r="AA50" s="15">
        <f t="shared" si="5"/>
        <v>0</v>
      </c>
      <c r="AB50" s="15">
        <f t="shared" si="5"/>
        <v>0</v>
      </c>
      <c r="AC50" s="15">
        <f t="shared" si="5"/>
        <v>0</v>
      </c>
      <c r="AD50" s="15">
        <f t="shared" si="5"/>
        <v>0</v>
      </c>
      <c r="AE50" s="15">
        <f t="shared" si="5"/>
        <v>0</v>
      </c>
      <c r="AF50" s="15">
        <f t="shared" si="5"/>
        <v>0</v>
      </c>
      <c r="AG50" s="15">
        <f t="shared" si="5"/>
        <v>0</v>
      </c>
      <c r="AH50" s="15">
        <f t="shared" si="5"/>
        <v>0</v>
      </c>
    </row>
    <row r="51" spans="3:34" ht="14.25" customHeight="1" x14ac:dyDescent="0.35">
      <c r="C51" s="3" t="s">
        <v>43</v>
      </c>
      <c r="D51" s="15">
        <f t="shared" ref="D51:AH51" si="6">COUNTIF(D7:D47,"A")</f>
        <v>0</v>
      </c>
      <c r="E51" s="15">
        <f t="shared" si="6"/>
        <v>1</v>
      </c>
      <c r="F51" s="15">
        <f t="shared" si="6"/>
        <v>0</v>
      </c>
      <c r="G51" s="15">
        <f t="shared" si="6"/>
        <v>0</v>
      </c>
      <c r="H51" s="15">
        <f t="shared" si="6"/>
        <v>0</v>
      </c>
      <c r="I51" s="15">
        <f t="shared" si="6"/>
        <v>0</v>
      </c>
      <c r="J51" s="15">
        <f t="shared" si="6"/>
        <v>0</v>
      </c>
      <c r="K51" s="15">
        <f t="shared" si="6"/>
        <v>0</v>
      </c>
      <c r="L51" s="15">
        <f t="shared" si="6"/>
        <v>0</v>
      </c>
      <c r="M51" s="15">
        <f t="shared" si="6"/>
        <v>0</v>
      </c>
      <c r="N51" s="15">
        <f t="shared" si="6"/>
        <v>0</v>
      </c>
      <c r="O51" s="15">
        <f t="shared" si="6"/>
        <v>0</v>
      </c>
      <c r="P51" s="15">
        <f t="shared" si="6"/>
        <v>0</v>
      </c>
      <c r="Q51" s="15">
        <f t="shared" si="6"/>
        <v>0</v>
      </c>
      <c r="R51" s="15">
        <f t="shared" si="6"/>
        <v>0</v>
      </c>
      <c r="S51" s="15">
        <f t="shared" si="6"/>
        <v>0</v>
      </c>
      <c r="T51" s="15">
        <f t="shared" si="6"/>
        <v>0</v>
      </c>
      <c r="U51" s="15">
        <f t="shared" si="6"/>
        <v>0</v>
      </c>
      <c r="V51" s="15">
        <f t="shared" si="6"/>
        <v>0</v>
      </c>
      <c r="W51" s="15">
        <f t="shared" si="6"/>
        <v>0</v>
      </c>
      <c r="X51" s="15">
        <f t="shared" si="6"/>
        <v>0</v>
      </c>
      <c r="Y51" s="15">
        <f t="shared" si="6"/>
        <v>0</v>
      </c>
      <c r="Z51" s="15">
        <f t="shared" si="6"/>
        <v>0</v>
      </c>
      <c r="AA51" s="15">
        <f t="shared" si="6"/>
        <v>0</v>
      </c>
      <c r="AB51" s="15">
        <f t="shared" si="6"/>
        <v>0</v>
      </c>
      <c r="AC51" s="15">
        <f t="shared" si="6"/>
        <v>0</v>
      </c>
      <c r="AD51" s="15">
        <f t="shared" si="6"/>
        <v>0</v>
      </c>
      <c r="AE51" s="15">
        <f t="shared" si="6"/>
        <v>0</v>
      </c>
      <c r="AF51" s="15">
        <f t="shared" si="6"/>
        <v>0</v>
      </c>
      <c r="AG51" s="15">
        <f t="shared" si="6"/>
        <v>0</v>
      </c>
      <c r="AH51" s="15">
        <f t="shared" si="6"/>
        <v>0</v>
      </c>
    </row>
    <row r="52" spans="3:34" ht="14.25" customHeight="1" x14ac:dyDescent="0.35"/>
    <row r="53" spans="3:34" ht="14.25" customHeight="1" x14ac:dyDescent="0.35"/>
    <row r="54" spans="3:34" ht="14.25" customHeight="1" x14ac:dyDescent="0.35"/>
    <row r="55" spans="3:34" ht="14.25" customHeight="1" x14ac:dyDescent="0.35"/>
    <row r="56" spans="3:34" ht="14.25" customHeight="1" x14ac:dyDescent="0.35"/>
    <row r="57" spans="3:34" ht="14.25" customHeight="1" x14ac:dyDescent="0.35"/>
    <row r="58" spans="3:34" ht="14.25" customHeight="1" x14ac:dyDescent="0.35"/>
    <row r="59" spans="3:34" ht="14.25" customHeight="1" x14ac:dyDescent="0.35"/>
    <row r="60" spans="3:34" ht="14.25" customHeight="1" x14ac:dyDescent="0.35"/>
    <row r="61" spans="3:34" ht="14.25" customHeight="1" x14ac:dyDescent="0.35"/>
    <row r="62" spans="3:34" ht="14.25" customHeight="1" x14ac:dyDescent="0.35"/>
    <row r="63" spans="3:34" ht="14.25" customHeight="1" x14ac:dyDescent="0.35"/>
    <row r="64" spans="3:3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1">
    <dataValidation type="list" allowBlank="1" showErrorMessage="1" sqref="D7:AH46" xr:uid="{00000000-0002-0000-0300-000000000000}">
      <formula1>$AK$7:$AK$10</formula1>
    </dataValidation>
  </dataValidations>
  <pageMargins left="0.3" right="0.3" top="0.3" bottom="0.3" header="0" footer="0"/>
  <pageSetup paperSize="14" scale="9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topLeftCell="B1" workbookViewId="0"/>
  </sheetViews>
  <sheetFormatPr defaultColWidth="14.453125" defaultRowHeight="15" customHeight="1" x14ac:dyDescent="0.35"/>
  <cols>
    <col min="1" max="1" width="8.81640625" hidden="1" customWidth="1"/>
    <col min="2" max="3" width="8.7265625" customWidth="1"/>
    <col min="4" max="4" width="25.81640625" customWidth="1"/>
    <col min="5" max="26" width="8.7265625" customWidth="1"/>
  </cols>
  <sheetData>
    <row r="1" spans="1:10" ht="14.25" customHeight="1" x14ac:dyDescent="0.35">
      <c r="B1" s="1"/>
      <c r="C1" s="1"/>
      <c r="D1" s="1"/>
    </row>
    <row r="2" spans="1:10" ht="14.25" customHeight="1" x14ac:dyDescent="0.35">
      <c r="B2" s="37"/>
      <c r="C2" s="39"/>
      <c r="D2" s="37"/>
      <c r="H2" s="3" t="s">
        <v>50</v>
      </c>
      <c r="I2" s="3" t="s">
        <v>1</v>
      </c>
      <c r="J2" s="3" t="s">
        <v>4</v>
      </c>
    </row>
    <row r="3" spans="1:10" ht="14.25" customHeight="1" x14ac:dyDescent="0.35">
      <c r="B3" s="6"/>
      <c r="C3" s="6"/>
      <c r="D3" s="41"/>
      <c r="H3" s="3" t="s">
        <v>51</v>
      </c>
      <c r="I3" s="3" t="s">
        <v>3</v>
      </c>
      <c r="J3" s="3" t="s">
        <v>46</v>
      </c>
    </row>
    <row r="4" spans="1:10" ht="14.25" customHeight="1" x14ac:dyDescent="0.35">
      <c r="A4" s="3" t="str">
        <f t="shared" ref="A4:A35" si="0">B4&amp;E4</f>
        <v>1PG</v>
      </c>
      <c r="B4" s="9">
        <v>1</v>
      </c>
      <c r="C4" s="16" t="s">
        <v>52</v>
      </c>
      <c r="D4" s="17" t="s">
        <v>53</v>
      </c>
      <c r="E4" s="4" t="s">
        <v>4</v>
      </c>
      <c r="F4" s="4" t="s">
        <v>54</v>
      </c>
      <c r="H4" s="3" t="s">
        <v>55</v>
      </c>
      <c r="I4" s="3" t="s">
        <v>43</v>
      </c>
      <c r="J4" s="3" t="s">
        <v>48</v>
      </c>
    </row>
    <row r="5" spans="1:10" ht="14.25" customHeight="1" x14ac:dyDescent="0.35">
      <c r="A5" s="3" t="str">
        <f t="shared" si="0"/>
        <v>2PG</v>
      </c>
      <c r="B5" s="9">
        <v>2</v>
      </c>
      <c r="C5" s="16" t="s">
        <v>56</v>
      </c>
      <c r="D5" s="18" t="s">
        <v>57</v>
      </c>
      <c r="E5" s="4" t="s">
        <v>4</v>
      </c>
      <c r="F5" s="4" t="s">
        <v>54</v>
      </c>
      <c r="H5" s="3" t="s">
        <v>9</v>
      </c>
      <c r="I5" s="3" t="s">
        <v>58</v>
      </c>
      <c r="J5" s="3" t="s">
        <v>49</v>
      </c>
    </row>
    <row r="6" spans="1:10" ht="14.25" customHeight="1" x14ac:dyDescent="0.35">
      <c r="A6" s="3" t="str">
        <f t="shared" si="0"/>
        <v>3PG</v>
      </c>
      <c r="B6" s="9">
        <v>3</v>
      </c>
      <c r="C6" s="16" t="s">
        <v>59</v>
      </c>
      <c r="D6" s="18" t="s">
        <v>60</v>
      </c>
      <c r="E6" s="4" t="s">
        <v>4</v>
      </c>
      <c r="F6" s="4" t="s">
        <v>54</v>
      </c>
      <c r="H6" s="3" t="s">
        <v>61</v>
      </c>
      <c r="I6" s="3" t="s">
        <v>45</v>
      </c>
    </row>
    <row r="7" spans="1:10" ht="14.25" customHeight="1" x14ac:dyDescent="0.35">
      <c r="A7" s="3" t="str">
        <f t="shared" si="0"/>
        <v>4PG</v>
      </c>
      <c r="B7" s="9">
        <v>4</v>
      </c>
      <c r="C7" s="16" t="s">
        <v>62</v>
      </c>
      <c r="D7" s="19" t="s">
        <v>63</v>
      </c>
      <c r="E7" s="4" t="s">
        <v>4</v>
      </c>
      <c r="F7" s="4" t="s">
        <v>54</v>
      </c>
      <c r="H7" s="3" t="s">
        <v>64</v>
      </c>
    </row>
    <row r="8" spans="1:10" ht="14.25" customHeight="1" x14ac:dyDescent="0.35">
      <c r="A8" s="3" t="str">
        <f t="shared" si="0"/>
        <v>5PG</v>
      </c>
      <c r="B8" s="9">
        <v>5</v>
      </c>
      <c r="C8" s="16" t="s">
        <v>65</v>
      </c>
      <c r="D8" s="19" t="s">
        <v>66</v>
      </c>
      <c r="E8" s="4" t="s">
        <v>4</v>
      </c>
      <c r="F8" s="4" t="s">
        <v>54</v>
      </c>
      <c r="H8" s="3" t="s">
        <v>67</v>
      </c>
    </row>
    <row r="9" spans="1:10" ht="14.25" customHeight="1" x14ac:dyDescent="0.35">
      <c r="A9" s="3" t="str">
        <f t="shared" si="0"/>
        <v>6PG</v>
      </c>
      <c r="B9" s="9">
        <v>6</v>
      </c>
      <c r="C9" s="16" t="s">
        <v>68</v>
      </c>
      <c r="D9" s="19" t="s">
        <v>69</v>
      </c>
      <c r="E9" s="4" t="s">
        <v>4</v>
      </c>
      <c r="F9" s="4" t="s">
        <v>54</v>
      </c>
      <c r="H9" s="3" t="s">
        <v>70</v>
      </c>
    </row>
    <row r="10" spans="1:10" ht="14.25" customHeight="1" x14ac:dyDescent="0.35">
      <c r="A10" s="3" t="str">
        <f t="shared" si="0"/>
        <v>7PG</v>
      </c>
      <c r="B10" s="9">
        <v>7</v>
      </c>
      <c r="C10" s="16" t="s">
        <v>71</v>
      </c>
      <c r="D10" s="20" t="s">
        <v>72</v>
      </c>
      <c r="E10" s="4" t="s">
        <v>4</v>
      </c>
      <c r="F10" s="4" t="s">
        <v>54</v>
      </c>
      <c r="H10" s="3" t="s">
        <v>73</v>
      </c>
    </row>
    <row r="11" spans="1:10" ht="14.25" customHeight="1" x14ac:dyDescent="0.35">
      <c r="A11" s="3" t="str">
        <f t="shared" si="0"/>
        <v>8PG</v>
      </c>
      <c r="B11" s="9">
        <v>8</v>
      </c>
      <c r="C11" s="16" t="s">
        <v>74</v>
      </c>
      <c r="D11" s="19" t="s">
        <v>75</v>
      </c>
      <c r="E11" s="4" t="s">
        <v>4</v>
      </c>
      <c r="F11" s="4" t="s">
        <v>54</v>
      </c>
      <c r="H11" s="3" t="s">
        <v>76</v>
      </c>
    </row>
    <row r="12" spans="1:10" ht="14.25" customHeight="1" x14ac:dyDescent="0.35">
      <c r="A12" s="3" t="str">
        <f t="shared" si="0"/>
        <v>9PG</v>
      </c>
      <c r="B12" s="9">
        <v>9</v>
      </c>
      <c r="C12" s="16" t="s">
        <v>77</v>
      </c>
      <c r="D12" s="19" t="s">
        <v>78</v>
      </c>
      <c r="E12" s="4" t="s">
        <v>4</v>
      </c>
      <c r="F12" s="4" t="s">
        <v>54</v>
      </c>
      <c r="H12" s="3" t="s">
        <v>79</v>
      </c>
    </row>
    <row r="13" spans="1:10" ht="14.25" customHeight="1" x14ac:dyDescent="0.35">
      <c r="A13" s="3" t="str">
        <f t="shared" si="0"/>
        <v>10PG</v>
      </c>
      <c r="B13" s="9">
        <v>10</v>
      </c>
      <c r="C13" s="16" t="s">
        <v>80</v>
      </c>
      <c r="D13" s="19" t="s">
        <v>81</v>
      </c>
      <c r="E13" s="4" t="s">
        <v>4</v>
      </c>
      <c r="F13" s="4" t="s">
        <v>54</v>
      </c>
      <c r="H13" s="3" t="s">
        <v>82</v>
      </c>
    </row>
    <row r="14" spans="1:10" ht="14.25" customHeight="1" x14ac:dyDescent="0.35">
      <c r="A14" s="3" t="str">
        <f t="shared" si="0"/>
        <v>11PG</v>
      </c>
      <c r="B14" s="9">
        <v>11</v>
      </c>
      <c r="C14" s="16" t="s">
        <v>83</v>
      </c>
      <c r="D14" s="19" t="s">
        <v>84</v>
      </c>
      <c r="E14" s="4" t="s">
        <v>4</v>
      </c>
      <c r="F14" s="4" t="s">
        <v>54</v>
      </c>
    </row>
    <row r="15" spans="1:10" ht="14.25" customHeight="1" x14ac:dyDescent="0.35">
      <c r="A15" s="3" t="str">
        <f t="shared" si="0"/>
        <v>12PG</v>
      </c>
      <c r="B15" s="9">
        <v>12</v>
      </c>
      <c r="C15" s="9"/>
      <c r="D15" s="21" t="s">
        <v>85</v>
      </c>
      <c r="E15" s="4" t="s">
        <v>4</v>
      </c>
      <c r="F15" s="4" t="s">
        <v>54</v>
      </c>
    </row>
    <row r="16" spans="1:10" ht="14.25" customHeight="1" x14ac:dyDescent="0.35">
      <c r="A16" s="3" t="str">
        <f t="shared" si="0"/>
        <v/>
      </c>
    </row>
    <row r="17" spans="1:6" ht="14.25" customHeight="1" x14ac:dyDescent="0.35">
      <c r="A17" s="3" t="str">
        <f t="shared" si="0"/>
        <v/>
      </c>
    </row>
    <row r="18" spans="1:6" ht="14.25" customHeight="1" x14ac:dyDescent="0.35">
      <c r="A18" s="3" t="str">
        <f t="shared" si="0"/>
        <v/>
      </c>
    </row>
    <row r="19" spans="1:6" ht="14.25" customHeight="1" x14ac:dyDescent="0.35">
      <c r="A19" s="3" t="str">
        <f t="shared" si="0"/>
        <v>1TKA</v>
      </c>
      <c r="B19" s="9">
        <v>1</v>
      </c>
      <c r="C19" s="9">
        <v>1505</v>
      </c>
      <c r="D19" s="17" t="s">
        <v>86</v>
      </c>
      <c r="E19" s="4" t="s">
        <v>46</v>
      </c>
      <c r="F19" s="4" t="s">
        <v>87</v>
      </c>
    </row>
    <row r="20" spans="1:6" ht="14.25" customHeight="1" x14ac:dyDescent="0.35">
      <c r="A20" s="3" t="str">
        <f t="shared" si="0"/>
        <v>2TKA</v>
      </c>
      <c r="B20" s="9">
        <v>2</v>
      </c>
      <c r="C20" s="9">
        <v>1506</v>
      </c>
      <c r="D20" s="17" t="s">
        <v>88</v>
      </c>
      <c r="E20" s="4" t="s">
        <v>46</v>
      </c>
      <c r="F20" s="4" t="s">
        <v>87</v>
      </c>
    </row>
    <row r="21" spans="1:6" ht="14.25" customHeight="1" x14ac:dyDescent="0.35">
      <c r="A21" s="3" t="str">
        <f t="shared" si="0"/>
        <v>3TKA</v>
      </c>
      <c r="B21" s="9">
        <v>3</v>
      </c>
      <c r="C21" s="9">
        <v>1507</v>
      </c>
      <c r="D21" s="20" t="s">
        <v>89</v>
      </c>
      <c r="E21" s="4" t="s">
        <v>46</v>
      </c>
      <c r="F21" s="4" t="s">
        <v>87</v>
      </c>
    </row>
    <row r="22" spans="1:6" ht="14.25" customHeight="1" x14ac:dyDescent="0.35">
      <c r="A22" s="3" t="str">
        <f t="shared" si="0"/>
        <v>4TKA</v>
      </c>
      <c r="B22" s="9">
        <v>4</v>
      </c>
      <c r="C22" s="9">
        <v>1508</v>
      </c>
      <c r="D22" s="17" t="s">
        <v>90</v>
      </c>
      <c r="E22" s="4" t="s">
        <v>46</v>
      </c>
      <c r="F22" s="4" t="s">
        <v>87</v>
      </c>
    </row>
    <row r="23" spans="1:6" ht="14.25" customHeight="1" x14ac:dyDescent="0.35">
      <c r="A23" s="3" t="str">
        <f t="shared" si="0"/>
        <v>5TKA</v>
      </c>
      <c r="B23" s="9">
        <v>5</v>
      </c>
      <c r="C23" s="9">
        <v>1509</v>
      </c>
      <c r="D23" s="17" t="s">
        <v>91</v>
      </c>
      <c r="E23" s="4" t="s">
        <v>46</v>
      </c>
      <c r="F23" s="4" t="s">
        <v>87</v>
      </c>
    </row>
    <row r="24" spans="1:6" ht="14.25" customHeight="1" x14ac:dyDescent="0.35">
      <c r="A24" s="3" t="str">
        <f t="shared" si="0"/>
        <v>6TKA</v>
      </c>
      <c r="B24" s="9">
        <v>6</v>
      </c>
      <c r="C24" s="9">
        <v>1510</v>
      </c>
      <c r="D24" s="17" t="s">
        <v>92</v>
      </c>
      <c r="E24" s="4" t="s">
        <v>46</v>
      </c>
      <c r="F24" s="4" t="s">
        <v>87</v>
      </c>
    </row>
    <row r="25" spans="1:6" ht="14.25" customHeight="1" x14ac:dyDescent="0.35">
      <c r="A25" s="3" t="str">
        <f t="shared" si="0"/>
        <v>7TKA</v>
      </c>
      <c r="B25" s="9">
        <v>7</v>
      </c>
      <c r="C25" s="9">
        <v>1511</v>
      </c>
      <c r="D25" s="20" t="s">
        <v>93</v>
      </c>
      <c r="E25" s="4" t="s">
        <v>46</v>
      </c>
      <c r="F25" s="4" t="s">
        <v>87</v>
      </c>
    </row>
    <row r="26" spans="1:6" ht="14.25" customHeight="1" x14ac:dyDescent="0.35">
      <c r="A26" s="3" t="str">
        <f t="shared" si="0"/>
        <v>8TKA</v>
      </c>
      <c r="B26" s="9">
        <v>8</v>
      </c>
      <c r="C26" s="9">
        <v>1512</v>
      </c>
      <c r="D26" s="20" t="s">
        <v>94</v>
      </c>
      <c r="E26" s="4" t="s">
        <v>46</v>
      </c>
      <c r="F26" s="4" t="s">
        <v>87</v>
      </c>
    </row>
    <row r="27" spans="1:6" ht="14.25" customHeight="1" x14ac:dyDescent="0.35">
      <c r="A27" s="3" t="str">
        <f t="shared" si="0"/>
        <v>9TKA</v>
      </c>
      <c r="B27" s="9">
        <v>9</v>
      </c>
      <c r="C27" s="9">
        <v>1513</v>
      </c>
      <c r="D27" s="17" t="s">
        <v>95</v>
      </c>
      <c r="E27" s="4" t="s">
        <v>46</v>
      </c>
      <c r="F27" s="4" t="s">
        <v>87</v>
      </c>
    </row>
    <row r="28" spans="1:6" ht="14.25" customHeight="1" x14ac:dyDescent="0.35">
      <c r="A28" s="3" t="str">
        <f t="shared" si="0"/>
        <v>10TKA</v>
      </c>
      <c r="B28" s="9">
        <v>10</v>
      </c>
      <c r="C28" s="9">
        <v>1514</v>
      </c>
      <c r="D28" s="20" t="s">
        <v>96</v>
      </c>
      <c r="E28" s="4" t="s">
        <v>46</v>
      </c>
      <c r="F28" s="4" t="s">
        <v>87</v>
      </c>
    </row>
    <row r="29" spans="1:6" ht="14.25" customHeight="1" x14ac:dyDescent="0.35">
      <c r="A29" s="3" t="str">
        <f t="shared" si="0"/>
        <v>11TKA</v>
      </c>
      <c r="B29" s="9">
        <v>11</v>
      </c>
      <c r="C29" s="9">
        <v>1515</v>
      </c>
      <c r="D29" s="17" t="s">
        <v>97</v>
      </c>
      <c r="E29" s="4" t="s">
        <v>46</v>
      </c>
      <c r="F29" s="4" t="s">
        <v>87</v>
      </c>
    </row>
    <row r="30" spans="1:6" ht="14.25" customHeight="1" x14ac:dyDescent="0.35">
      <c r="A30" s="3" t="str">
        <f t="shared" si="0"/>
        <v>12TKA</v>
      </c>
      <c r="B30" s="9">
        <v>12</v>
      </c>
      <c r="C30" s="9">
        <v>1516</v>
      </c>
      <c r="D30" s="17" t="s">
        <v>98</v>
      </c>
      <c r="E30" s="4" t="s">
        <v>46</v>
      </c>
      <c r="F30" s="4" t="s">
        <v>87</v>
      </c>
    </row>
    <row r="31" spans="1:6" ht="14.25" customHeight="1" x14ac:dyDescent="0.35">
      <c r="A31" s="3" t="str">
        <f t="shared" si="0"/>
        <v>13TKA</v>
      </c>
      <c r="B31" s="9">
        <v>13</v>
      </c>
      <c r="C31" s="9">
        <v>1517</v>
      </c>
      <c r="D31" s="20" t="s">
        <v>99</v>
      </c>
      <c r="E31" s="4" t="s">
        <v>46</v>
      </c>
      <c r="F31" s="4" t="s">
        <v>87</v>
      </c>
    </row>
    <row r="32" spans="1:6" ht="14.25" customHeight="1" x14ac:dyDescent="0.35">
      <c r="A32" s="3" t="str">
        <f t="shared" si="0"/>
        <v>14TKA</v>
      </c>
      <c r="B32" s="9">
        <v>14</v>
      </c>
      <c r="C32" s="9">
        <v>1518</v>
      </c>
      <c r="D32" s="20" t="s">
        <v>100</v>
      </c>
      <c r="E32" s="4" t="s">
        <v>46</v>
      </c>
      <c r="F32" s="4" t="s">
        <v>87</v>
      </c>
    </row>
    <row r="33" spans="1:6" ht="14.25" customHeight="1" x14ac:dyDescent="0.35">
      <c r="A33" s="3" t="str">
        <f t="shared" si="0"/>
        <v>15TKA</v>
      </c>
      <c r="B33" s="9">
        <v>15</v>
      </c>
      <c r="C33" s="9">
        <v>1519</v>
      </c>
      <c r="D33" s="17" t="s">
        <v>101</v>
      </c>
      <c r="E33" s="4" t="s">
        <v>46</v>
      </c>
      <c r="F33" s="4" t="s">
        <v>87</v>
      </c>
    </row>
    <row r="34" spans="1:6" ht="14.25" customHeight="1" x14ac:dyDescent="0.35">
      <c r="A34" s="3" t="str">
        <f t="shared" si="0"/>
        <v>16TKA</v>
      </c>
      <c r="B34" s="9">
        <v>16</v>
      </c>
      <c r="C34" s="9">
        <v>1520</v>
      </c>
      <c r="D34" s="20" t="s">
        <v>102</v>
      </c>
      <c r="E34" s="4" t="s">
        <v>46</v>
      </c>
      <c r="F34" s="4" t="s">
        <v>87</v>
      </c>
    </row>
    <row r="35" spans="1:6" ht="14.25" customHeight="1" x14ac:dyDescent="0.35">
      <c r="A35" s="3" t="str">
        <f t="shared" si="0"/>
        <v>17TKA</v>
      </c>
      <c r="B35" s="9">
        <v>17</v>
      </c>
      <c r="C35" s="9">
        <v>1521</v>
      </c>
      <c r="D35" s="17" t="s">
        <v>103</v>
      </c>
      <c r="E35" s="4" t="s">
        <v>46</v>
      </c>
      <c r="F35" s="4" t="s">
        <v>87</v>
      </c>
    </row>
    <row r="36" spans="1:6" ht="14.25" customHeight="1" x14ac:dyDescent="0.35">
      <c r="A36" s="3" t="str">
        <f t="shared" ref="A36:A67" si="1">B36&amp;E36</f>
        <v>18TKA</v>
      </c>
      <c r="B36" s="9">
        <v>18</v>
      </c>
      <c r="C36" s="9">
        <v>1522</v>
      </c>
      <c r="D36" s="17" t="s">
        <v>104</v>
      </c>
      <c r="E36" s="4" t="s">
        <v>46</v>
      </c>
      <c r="F36" s="4" t="s">
        <v>87</v>
      </c>
    </row>
    <row r="37" spans="1:6" ht="14.25" customHeight="1" x14ac:dyDescent="0.35">
      <c r="A37" s="3" t="str">
        <f t="shared" si="1"/>
        <v>19TKA</v>
      </c>
      <c r="B37" s="9">
        <v>19</v>
      </c>
      <c r="C37" s="9">
        <v>1523</v>
      </c>
      <c r="D37" s="17" t="s">
        <v>105</v>
      </c>
      <c r="E37" s="4" t="s">
        <v>46</v>
      </c>
      <c r="F37" s="4" t="s">
        <v>87</v>
      </c>
    </row>
    <row r="38" spans="1:6" ht="14.25" customHeight="1" x14ac:dyDescent="0.35">
      <c r="A38" s="3" t="str">
        <f t="shared" si="1"/>
        <v>20TKA</v>
      </c>
      <c r="B38" s="9">
        <v>20</v>
      </c>
      <c r="C38" s="9">
        <v>1524</v>
      </c>
      <c r="D38" s="17" t="s">
        <v>106</v>
      </c>
      <c r="E38" s="4" t="s">
        <v>46</v>
      </c>
      <c r="F38" s="4" t="s">
        <v>87</v>
      </c>
    </row>
    <row r="39" spans="1:6" ht="14.25" customHeight="1" x14ac:dyDescent="0.35">
      <c r="A39" s="3" t="str">
        <f t="shared" si="1"/>
        <v>21TKA</v>
      </c>
      <c r="B39" s="9">
        <v>21</v>
      </c>
      <c r="C39" s="9">
        <v>1525</v>
      </c>
      <c r="D39" s="20" t="s">
        <v>107</v>
      </c>
      <c r="E39" s="4" t="s">
        <v>46</v>
      </c>
      <c r="F39" s="4" t="s">
        <v>87</v>
      </c>
    </row>
    <row r="40" spans="1:6" ht="14.25" customHeight="1" x14ac:dyDescent="0.35">
      <c r="A40" s="3" t="str">
        <f t="shared" si="1"/>
        <v>22TKA</v>
      </c>
      <c r="B40" s="9">
        <v>22</v>
      </c>
      <c r="C40" s="9">
        <v>1526</v>
      </c>
      <c r="D40" s="17" t="s">
        <v>108</v>
      </c>
      <c r="E40" s="4" t="s">
        <v>46</v>
      </c>
      <c r="F40" s="4" t="s">
        <v>87</v>
      </c>
    </row>
    <row r="41" spans="1:6" ht="14.25" customHeight="1" x14ac:dyDescent="0.35">
      <c r="A41" s="3" t="str">
        <f t="shared" si="1"/>
        <v>23TKA</v>
      </c>
      <c r="B41" s="9">
        <v>23</v>
      </c>
      <c r="C41" s="9">
        <v>1527</v>
      </c>
      <c r="D41" s="20" t="s">
        <v>109</v>
      </c>
      <c r="E41" s="4" t="s">
        <v>46</v>
      </c>
      <c r="F41" s="4" t="s">
        <v>87</v>
      </c>
    </row>
    <row r="42" spans="1:6" ht="14.25" customHeight="1" x14ac:dyDescent="0.35">
      <c r="A42" s="3" t="str">
        <f t="shared" si="1"/>
        <v>24TKA</v>
      </c>
      <c r="B42" s="9">
        <v>24</v>
      </c>
      <c r="C42" s="9">
        <v>1528</v>
      </c>
      <c r="D42" s="17" t="s">
        <v>110</v>
      </c>
      <c r="E42" s="4" t="s">
        <v>46</v>
      </c>
      <c r="F42" s="4" t="s">
        <v>87</v>
      </c>
    </row>
    <row r="43" spans="1:6" ht="14.25" customHeight="1" x14ac:dyDescent="0.35">
      <c r="A43" s="3" t="str">
        <f t="shared" si="1"/>
        <v>25TKA</v>
      </c>
      <c r="B43" s="9">
        <v>25</v>
      </c>
      <c r="C43" s="9">
        <v>1529</v>
      </c>
      <c r="D43" s="20" t="s">
        <v>111</v>
      </c>
      <c r="E43" s="4" t="s">
        <v>46</v>
      </c>
      <c r="F43" s="4" t="s">
        <v>87</v>
      </c>
    </row>
    <row r="44" spans="1:6" ht="14.25" customHeight="1" x14ac:dyDescent="0.35">
      <c r="A44" s="3" t="str">
        <f t="shared" si="1"/>
        <v>26TKA</v>
      </c>
      <c r="B44" s="9">
        <v>26</v>
      </c>
      <c r="C44" s="9">
        <v>1530</v>
      </c>
      <c r="D44" s="20" t="s">
        <v>112</v>
      </c>
      <c r="E44" s="4" t="s">
        <v>46</v>
      </c>
      <c r="F44" s="4" t="s">
        <v>87</v>
      </c>
    </row>
    <row r="45" spans="1:6" ht="14.25" customHeight="1" x14ac:dyDescent="0.35">
      <c r="A45" s="3" t="str">
        <f t="shared" si="1"/>
        <v>27TKA</v>
      </c>
      <c r="B45" s="9">
        <v>27</v>
      </c>
      <c r="C45" s="9">
        <v>1531</v>
      </c>
      <c r="D45" s="17" t="s">
        <v>113</v>
      </c>
      <c r="E45" s="4" t="s">
        <v>46</v>
      </c>
      <c r="F45" s="4" t="s">
        <v>87</v>
      </c>
    </row>
    <row r="46" spans="1:6" ht="14.25" customHeight="1" x14ac:dyDescent="0.35">
      <c r="A46" s="3" t="str">
        <f t="shared" si="1"/>
        <v>28TKA</v>
      </c>
      <c r="B46" s="9">
        <v>28</v>
      </c>
      <c r="C46" s="9">
        <v>1532</v>
      </c>
      <c r="D46" s="17" t="s">
        <v>114</v>
      </c>
      <c r="E46" s="4" t="s">
        <v>46</v>
      </c>
      <c r="F46" s="4" t="s">
        <v>87</v>
      </c>
    </row>
    <row r="47" spans="1:6" ht="14.25" customHeight="1" x14ac:dyDescent="0.35">
      <c r="A47" s="3" t="str">
        <f t="shared" si="1"/>
        <v>29TKA</v>
      </c>
      <c r="B47" s="9">
        <v>29</v>
      </c>
      <c r="C47" s="9">
        <v>1533</v>
      </c>
      <c r="D47" s="20" t="s">
        <v>115</v>
      </c>
      <c r="E47" s="4" t="s">
        <v>46</v>
      </c>
      <c r="F47" s="4" t="s">
        <v>87</v>
      </c>
    </row>
    <row r="48" spans="1:6" ht="14.25" customHeight="1" x14ac:dyDescent="0.35">
      <c r="A48" s="3" t="str">
        <f t="shared" si="1"/>
        <v>30TKA</v>
      </c>
      <c r="B48" s="9">
        <v>30</v>
      </c>
      <c r="C48" s="9">
        <v>1534</v>
      </c>
      <c r="D48" s="20" t="s">
        <v>116</v>
      </c>
      <c r="E48" s="4" t="s">
        <v>46</v>
      </c>
      <c r="F48" s="4" t="s">
        <v>87</v>
      </c>
    </row>
    <row r="49" spans="1:6" ht="14.25" customHeight="1" x14ac:dyDescent="0.35">
      <c r="A49" s="3" t="str">
        <f t="shared" si="1"/>
        <v>31</v>
      </c>
      <c r="B49" s="22">
        <v>31</v>
      </c>
      <c r="C49" s="23"/>
      <c r="D49" s="24"/>
    </row>
    <row r="50" spans="1:6" ht="14.25" customHeight="1" x14ac:dyDescent="0.35">
      <c r="A50" s="3" t="str">
        <f t="shared" si="1"/>
        <v>32</v>
      </c>
      <c r="B50" s="22">
        <v>32</v>
      </c>
      <c r="C50" s="22"/>
      <c r="D50" s="24"/>
    </row>
    <row r="51" spans="1:6" ht="14.25" customHeight="1" x14ac:dyDescent="0.35">
      <c r="A51" s="3" t="str">
        <f t="shared" si="1"/>
        <v>33</v>
      </c>
      <c r="B51" s="22">
        <v>33</v>
      </c>
      <c r="C51" s="24"/>
      <c r="D51" s="24"/>
    </row>
    <row r="52" spans="1:6" ht="14.25" customHeight="1" x14ac:dyDescent="0.35">
      <c r="A52" s="3" t="str">
        <f t="shared" si="1"/>
        <v/>
      </c>
    </row>
    <row r="53" spans="1:6" ht="14.25" customHeight="1" x14ac:dyDescent="0.35">
      <c r="A53" s="3" t="str">
        <f t="shared" si="1"/>
        <v/>
      </c>
    </row>
    <row r="54" spans="1:6" ht="14.25" customHeight="1" x14ac:dyDescent="0.35">
      <c r="A54" s="3" t="str">
        <f t="shared" si="1"/>
        <v/>
      </c>
    </row>
    <row r="55" spans="1:6" ht="14.25" customHeight="1" x14ac:dyDescent="0.35">
      <c r="A55" s="3" t="str">
        <f t="shared" si="1"/>
        <v/>
      </c>
    </row>
    <row r="56" spans="1:6" ht="14.25" customHeight="1" x14ac:dyDescent="0.35">
      <c r="A56" s="3" t="str">
        <f t="shared" si="1"/>
        <v/>
      </c>
    </row>
    <row r="57" spans="1:6" ht="14.25" customHeight="1" x14ac:dyDescent="0.35">
      <c r="A57" s="3" t="str">
        <f t="shared" si="1"/>
        <v/>
      </c>
    </row>
    <row r="58" spans="1:6" ht="14.25" customHeight="1" x14ac:dyDescent="0.35">
      <c r="A58" s="3" t="str">
        <f t="shared" si="1"/>
        <v>1TKB1</v>
      </c>
      <c r="B58" s="9">
        <v>1</v>
      </c>
      <c r="C58" s="9">
        <v>1439</v>
      </c>
      <c r="D58" s="25" t="s">
        <v>117</v>
      </c>
      <c r="E58" s="4" t="s">
        <v>48</v>
      </c>
      <c r="F58" s="4" t="s">
        <v>118</v>
      </c>
    </row>
    <row r="59" spans="1:6" ht="14.25" customHeight="1" x14ac:dyDescent="0.35">
      <c r="A59" s="3" t="str">
        <f t="shared" si="1"/>
        <v>2TKB1</v>
      </c>
      <c r="B59" s="9">
        <v>2</v>
      </c>
      <c r="C59" s="9">
        <v>1441</v>
      </c>
      <c r="D59" s="26" t="s">
        <v>119</v>
      </c>
      <c r="E59" s="4" t="s">
        <v>48</v>
      </c>
      <c r="F59" s="4" t="s">
        <v>118</v>
      </c>
    </row>
    <row r="60" spans="1:6" ht="14.25" customHeight="1" x14ac:dyDescent="0.35">
      <c r="A60" s="3" t="str">
        <f t="shared" si="1"/>
        <v>3TKB1</v>
      </c>
      <c r="B60" s="9">
        <v>3</v>
      </c>
      <c r="C60" s="9">
        <v>1449</v>
      </c>
      <c r="D60" s="26" t="s">
        <v>120</v>
      </c>
      <c r="E60" s="4" t="s">
        <v>48</v>
      </c>
      <c r="F60" s="4" t="s">
        <v>118</v>
      </c>
    </row>
    <row r="61" spans="1:6" ht="14.25" customHeight="1" x14ac:dyDescent="0.35">
      <c r="A61" s="3" t="str">
        <f t="shared" si="1"/>
        <v>4TKB1</v>
      </c>
      <c r="B61" s="9">
        <v>4</v>
      </c>
      <c r="C61" s="9">
        <v>1450</v>
      </c>
      <c r="D61" s="27" t="s">
        <v>121</v>
      </c>
      <c r="E61" s="4" t="s">
        <v>48</v>
      </c>
      <c r="F61" s="4" t="s">
        <v>118</v>
      </c>
    </row>
    <row r="62" spans="1:6" ht="14.25" customHeight="1" x14ac:dyDescent="0.35">
      <c r="A62" s="3" t="str">
        <f t="shared" si="1"/>
        <v>5TKB1</v>
      </c>
      <c r="B62" s="9">
        <v>5</v>
      </c>
      <c r="C62" s="9">
        <v>1459</v>
      </c>
      <c r="D62" s="27" t="s">
        <v>122</v>
      </c>
      <c r="E62" s="4" t="s">
        <v>48</v>
      </c>
      <c r="F62" s="4" t="s">
        <v>118</v>
      </c>
    </row>
    <row r="63" spans="1:6" ht="14.25" customHeight="1" x14ac:dyDescent="0.35">
      <c r="A63" s="3" t="str">
        <f t="shared" si="1"/>
        <v>6TKB1</v>
      </c>
      <c r="B63" s="9">
        <v>6</v>
      </c>
      <c r="C63" s="9">
        <v>1473</v>
      </c>
      <c r="D63" s="26" t="s">
        <v>123</v>
      </c>
      <c r="E63" s="4" t="s">
        <v>48</v>
      </c>
      <c r="F63" s="4" t="s">
        <v>118</v>
      </c>
    </row>
    <row r="64" spans="1:6" ht="14.25" customHeight="1" x14ac:dyDescent="0.35">
      <c r="A64" s="3" t="str">
        <f t="shared" si="1"/>
        <v>7TKB1</v>
      </c>
      <c r="B64" s="9">
        <v>7</v>
      </c>
      <c r="C64" s="28">
        <v>1476</v>
      </c>
      <c r="D64" s="27" t="s">
        <v>124</v>
      </c>
      <c r="E64" s="4" t="s">
        <v>48</v>
      </c>
      <c r="F64" s="4" t="s">
        <v>118</v>
      </c>
    </row>
    <row r="65" spans="1:6" ht="14.25" customHeight="1" x14ac:dyDescent="0.35">
      <c r="A65" s="3" t="str">
        <f t="shared" si="1"/>
        <v>8TKB1</v>
      </c>
      <c r="B65" s="9">
        <v>8</v>
      </c>
      <c r="C65" s="9">
        <v>1477</v>
      </c>
      <c r="D65" s="26" t="s">
        <v>125</v>
      </c>
      <c r="E65" s="4" t="s">
        <v>48</v>
      </c>
      <c r="F65" s="4" t="s">
        <v>118</v>
      </c>
    </row>
    <row r="66" spans="1:6" ht="14.25" customHeight="1" x14ac:dyDescent="0.35">
      <c r="A66" s="3" t="str">
        <f t="shared" si="1"/>
        <v>9TKB1</v>
      </c>
      <c r="B66" s="9">
        <v>9</v>
      </c>
      <c r="C66" s="28">
        <v>1478</v>
      </c>
      <c r="D66" s="26" t="s">
        <v>126</v>
      </c>
      <c r="E66" s="4" t="s">
        <v>48</v>
      </c>
      <c r="F66" s="4" t="s">
        <v>118</v>
      </c>
    </row>
    <row r="67" spans="1:6" ht="14.25" customHeight="1" x14ac:dyDescent="0.35">
      <c r="A67" s="3" t="str">
        <f t="shared" si="1"/>
        <v>10TKB1</v>
      </c>
      <c r="B67" s="9">
        <v>10</v>
      </c>
      <c r="C67" s="9">
        <v>1479</v>
      </c>
      <c r="D67" s="26" t="s">
        <v>127</v>
      </c>
      <c r="E67" s="4" t="s">
        <v>48</v>
      </c>
      <c r="F67" s="4" t="s">
        <v>118</v>
      </c>
    </row>
    <row r="68" spans="1:6" ht="14.25" customHeight="1" x14ac:dyDescent="0.35">
      <c r="A68" s="3" t="str">
        <f t="shared" ref="A68:A99" si="2">B68&amp;E68</f>
        <v>11TKB1</v>
      </c>
      <c r="B68" s="9">
        <v>11</v>
      </c>
      <c r="C68" s="28">
        <v>1480</v>
      </c>
      <c r="D68" s="26" t="s">
        <v>128</v>
      </c>
      <c r="E68" s="4" t="s">
        <v>48</v>
      </c>
      <c r="F68" s="4" t="s">
        <v>118</v>
      </c>
    </row>
    <row r="69" spans="1:6" ht="14.25" customHeight="1" x14ac:dyDescent="0.35">
      <c r="A69" s="3" t="str">
        <f t="shared" si="2"/>
        <v>12TKB1</v>
      </c>
      <c r="B69" s="9">
        <v>12</v>
      </c>
      <c r="C69" s="9">
        <v>1481</v>
      </c>
      <c r="D69" s="26" t="s">
        <v>129</v>
      </c>
      <c r="E69" s="4" t="s">
        <v>48</v>
      </c>
      <c r="F69" s="4" t="s">
        <v>118</v>
      </c>
    </row>
    <row r="70" spans="1:6" ht="14.25" customHeight="1" x14ac:dyDescent="0.35">
      <c r="A70" s="3" t="str">
        <f t="shared" si="2"/>
        <v>13TKB1</v>
      </c>
      <c r="B70" s="9">
        <v>13</v>
      </c>
      <c r="C70" s="28">
        <v>1482</v>
      </c>
      <c r="D70" s="26" t="s">
        <v>130</v>
      </c>
      <c r="E70" s="4" t="s">
        <v>48</v>
      </c>
      <c r="F70" s="4" t="s">
        <v>118</v>
      </c>
    </row>
    <row r="71" spans="1:6" ht="14.25" customHeight="1" x14ac:dyDescent="0.35">
      <c r="A71" s="3" t="str">
        <f t="shared" si="2"/>
        <v>14TKB1</v>
      </c>
      <c r="B71" s="9">
        <v>14</v>
      </c>
      <c r="C71" s="9">
        <v>1483</v>
      </c>
      <c r="D71" s="26" t="s">
        <v>131</v>
      </c>
      <c r="E71" s="4" t="s">
        <v>48</v>
      </c>
      <c r="F71" s="4" t="s">
        <v>118</v>
      </c>
    </row>
    <row r="72" spans="1:6" ht="14.25" customHeight="1" x14ac:dyDescent="0.35">
      <c r="A72" s="3" t="str">
        <f t="shared" si="2"/>
        <v>15TKB1</v>
      </c>
      <c r="B72" s="9">
        <v>15</v>
      </c>
      <c r="C72" s="28">
        <v>1484</v>
      </c>
      <c r="D72" s="27" t="s">
        <v>132</v>
      </c>
      <c r="E72" s="4" t="s">
        <v>48</v>
      </c>
      <c r="F72" s="4" t="s">
        <v>118</v>
      </c>
    </row>
    <row r="73" spans="1:6" ht="14.25" customHeight="1" x14ac:dyDescent="0.35">
      <c r="A73" s="3" t="str">
        <f t="shared" si="2"/>
        <v>16TKB1</v>
      </c>
      <c r="B73" s="9">
        <v>16</v>
      </c>
      <c r="C73" s="9">
        <v>1485</v>
      </c>
      <c r="D73" s="27" t="s">
        <v>133</v>
      </c>
      <c r="E73" s="4" t="s">
        <v>48</v>
      </c>
      <c r="F73" s="4" t="s">
        <v>118</v>
      </c>
    </row>
    <row r="74" spans="1:6" ht="14.25" customHeight="1" x14ac:dyDescent="0.35">
      <c r="A74" s="3" t="str">
        <f t="shared" si="2"/>
        <v>17TKB1</v>
      </c>
      <c r="B74" s="9">
        <v>17</v>
      </c>
      <c r="C74" s="28">
        <v>1486</v>
      </c>
      <c r="D74" s="26" t="s">
        <v>134</v>
      </c>
      <c r="E74" s="4" t="s">
        <v>48</v>
      </c>
      <c r="F74" s="4" t="s">
        <v>118</v>
      </c>
    </row>
    <row r="75" spans="1:6" ht="14.25" customHeight="1" x14ac:dyDescent="0.35">
      <c r="A75" s="3" t="str">
        <f t="shared" si="2"/>
        <v>18TKB1</v>
      </c>
      <c r="B75" s="9">
        <v>18</v>
      </c>
      <c r="C75" s="9">
        <v>1487</v>
      </c>
      <c r="D75" s="27" t="s">
        <v>135</v>
      </c>
      <c r="E75" s="4" t="s">
        <v>48</v>
      </c>
      <c r="F75" s="4" t="s">
        <v>118</v>
      </c>
    </row>
    <row r="76" spans="1:6" ht="14.25" customHeight="1" x14ac:dyDescent="0.35">
      <c r="A76" s="3" t="str">
        <f t="shared" si="2"/>
        <v>19TKB1</v>
      </c>
      <c r="B76" s="9">
        <v>19</v>
      </c>
      <c r="C76" s="28">
        <v>1488</v>
      </c>
      <c r="D76" s="25" t="s">
        <v>136</v>
      </c>
      <c r="E76" s="4" t="s">
        <v>48</v>
      </c>
      <c r="F76" s="4" t="s">
        <v>118</v>
      </c>
    </row>
    <row r="77" spans="1:6" ht="14.25" customHeight="1" x14ac:dyDescent="0.35">
      <c r="A77" s="3" t="str">
        <f t="shared" si="2"/>
        <v>20TKB1</v>
      </c>
      <c r="B77" s="9">
        <v>20</v>
      </c>
      <c r="C77" s="9">
        <v>1489</v>
      </c>
      <c r="D77" s="27" t="s">
        <v>137</v>
      </c>
      <c r="E77" s="4" t="s">
        <v>48</v>
      </c>
      <c r="F77" s="4" t="s">
        <v>118</v>
      </c>
    </row>
    <row r="78" spans="1:6" ht="14.25" customHeight="1" x14ac:dyDescent="0.35">
      <c r="A78" s="3" t="str">
        <f t="shared" si="2"/>
        <v>21TKB1</v>
      </c>
      <c r="B78" s="9">
        <v>21</v>
      </c>
      <c r="C78" s="28">
        <v>1490</v>
      </c>
      <c r="D78" s="27" t="s">
        <v>138</v>
      </c>
      <c r="E78" s="4" t="s">
        <v>48</v>
      </c>
      <c r="F78" s="4" t="s">
        <v>118</v>
      </c>
    </row>
    <row r="79" spans="1:6" ht="14.25" customHeight="1" x14ac:dyDescent="0.35">
      <c r="A79" s="3" t="str">
        <f t="shared" si="2"/>
        <v>22TKB1</v>
      </c>
      <c r="B79" s="9">
        <v>22</v>
      </c>
      <c r="C79" s="9">
        <v>1491</v>
      </c>
      <c r="D79" s="26" t="s">
        <v>139</v>
      </c>
      <c r="E79" s="4" t="s">
        <v>48</v>
      </c>
      <c r="F79" s="4" t="s">
        <v>118</v>
      </c>
    </row>
    <row r="80" spans="1:6" ht="14.25" customHeight="1" x14ac:dyDescent="0.35">
      <c r="A80" s="3" t="str">
        <f t="shared" si="2"/>
        <v>23TKB1</v>
      </c>
      <c r="B80" s="9">
        <v>23</v>
      </c>
      <c r="C80" s="28">
        <v>1492</v>
      </c>
      <c r="D80" s="26" t="s">
        <v>140</v>
      </c>
      <c r="E80" s="4" t="s">
        <v>48</v>
      </c>
      <c r="F80" s="4" t="s">
        <v>118</v>
      </c>
    </row>
    <row r="81" spans="1:6" ht="14.25" customHeight="1" x14ac:dyDescent="0.35">
      <c r="A81" s="3" t="str">
        <f t="shared" si="2"/>
        <v>24TKB1</v>
      </c>
      <c r="B81" s="9">
        <v>24</v>
      </c>
      <c r="C81" s="9">
        <v>1493</v>
      </c>
      <c r="D81" s="26" t="s">
        <v>141</v>
      </c>
      <c r="E81" s="4" t="s">
        <v>48</v>
      </c>
      <c r="F81" s="4" t="s">
        <v>118</v>
      </c>
    </row>
    <row r="82" spans="1:6" ht="14.25" customHeight="1" x14ac:dyDescent="0.35">
      <c r="A82" s="3" t="str">
        <f t="shared" si="2"/>
        <v>25TKB1</v>
      </c>
      <c r="B82" s="9">
        <v>25</v>
      </c>
      <c r="C82" s="28">
        <v>1494</v>
      </c>
      <c r="D82" s="27" t="s">
        <v>142</v>
      </c>
      <c r="E82" s="4" t="s">
        <v>48</v>
      </c>
      <c r="F82" s="4" t="s">
        <v>118</v>
      </c>
    </row>
    <row r="83" spans="1:6" ht="14.25" customHeight="1" x14ac:dyDescent="0.35">
      <c r="A83" s="3" t="str">
        <f t="shared" si="2"/>
        <v>26TKB1</v>
      </c>
      <c r="B83" s="9">
        <v>26</v>
      </c>
      <c r="C83" s="9">
        <v>1495</v>
      </c>
      <c r="D83" s="27" t="s">
        <v>143</v>
      </c>
      <c r="E83" s="4" t="s">
        <v>48</v>
      </c>
      <c r="F83" s="4" t="s">
        <v>118</v>
      </c>
    </row>
    <row r="84" spans="1:6" ht="14.25" customHeight="1" x14ac:dyDescent="0.35">
      <c r="A84" s="3" t="str">
        <f t="shared" si="2"/>
        <v>27TKB1</v>
      </c>
      <c r="B84" s="9">
        <v>27</v>
      </c>
      <c r="C84" s="28">
        <v>1496</v>
      </c>
      <c r="D84" s="26" t="s">
        <v>144</v>
      </c>
      <c r="E84" s="4" t="s">
        <v>48</v>
      </c>
      <c r="F84" s="4" t="s">
        <v>118</v>
      </c>
    </row>
    <row r="85" spans="1:6" ht="14.25" customHeight="1" x14ac:dyDescent="0.35">
      <c r="A85" s="3" t="str">
        <f t="shared" si="2"/>
        <v>28TKB1</v>
      </c>
      <c r="B85" s="9">
        <v>28</v>
      </c>
      <c r="C85" s="9">
        <v>1497</v>
      </c>
      <c r="D85" s="27" t="s">
        <v>145</v>
      </c>
      <c r="E85" s="4" t="s">
        <v>48</v>
      </c>
      <c r="F85" s="4" t="s">
        <v>118</v>
      </c>
    </row>
    <row r="86" spans="1:6" ht="14.25" customHeight="1" x14ac:dyDescent="0.35">
      <c r="A86" s="3" t="str">
        <f t="shared" si="2"/>
        <v>29TKB1</v>
      </c>
      <c r="B86" s="9">
        <v>29</v>
      </c>
      <c r="C86" s="28">
        <v>1498</v>
      </c>
      <c r="D86" s="25" t="s">
        <v>146</v>
      </c>
      <c r="E86" s="4" t="s">
        <v>48</v>
      </c>
      <c r="F86" s="4" t="s">
        <v>118</v>
      </c>
    </row>
    <row r="87" spans="1:6" ht="14.25" customHeight="1" x14ac:dyDescent="0.35">
      <c r="A87" s="3" t="str">
        <f t="shared" si="2"/>
        <v>30TKB1</v>
      </c>
      <c r="B87" s="9">
        <v>30</v>
      </c>
      <c r="C87" s="9">
        <v>1499</v>
      </c>
      <c r="D87" s="27" t="s">
        <v>147</v>
      </c>
      <c r="E87" s="4" t="s">
        <v>48</v>
      </c>
      <c r="F87" s="4" t="s">
        <v>118</v>
      </c>
    </row>
    <row r="88" spans="1:6" ht="14.25" customHeight="1" x14ac:dyDescent="0.35">
      <c r="A88" s="3" t="str">
        <f t="shared" si="2"/>
        <v>31TKB1</v>
      </c>
      <c r="B88" s="9">
        <v>31</v>
      </c>
      <c r="C88" s="28">
        <v>1500</v>
      </c>
      <c r="D88" s="27" t="s">
        <v>148</v>
      </c>
      <c r="E88" s="4" t="s">
        <v>48</v>
      </c>
      <c r="F88" s="4" t="s">
        <v>118</v>
      </c>
    </row>
    <row r="89" spans="1:6" ht="14.25" customHeight="1" x14ac:dyDescent="0.35">
      <c r="A89" s="3" t="str">
        <f t="shared" si="2"/>
        <v>32TKB1</v>
      </c>
      <c r="B89" s="9">
        <v>32</v>
      </c>
      <c r="C89" s="9">
        <v>1501</v>
      </c>
      <c r="D89" s="27" t="s">
        <v>149</v>
      </c>
      <c r="E89" s="4" t="s">
        <v>48</v>
      </c>
      <c r="F89" s="4" t="s">
        <v>118</v>
      </c>
    </row>
    <row r="90" spans="1:6" ht="14.25" customHeight="1" x14ac:dyDescent="0.35">
      <c r="A90" s="3" t="str">
        <f t="shared" si="2"/>
        <v>33TKB1</v>
      </c>
      <c r="B90" s="9">
        <v>33</v>
      </c>
      <c r="C90" s="28">
        <v>1502</v>
      </c>
      <c r="D90" s="26" t="s">
        <v>150</v>
      </c>
      <c r="E90" s="4" t="s">
        <v>48</v>
      </c>
      <c r="F90" s="4" t="s">
        <v>118</v>
      </c>
    </row>
    <row r="91" spans="1:6" ht="14.25" customHeight="1" x14ac:dyDescent="0.35">
      <c r="A91" s="3" t="str">
        <f t="shared" si="2"/>
        <v>34TKB1</v>
      </c>
      <c r="B91" s="9">
        <v>34</v>
      </c>
      <c r="C91" s="9">
        <v>1503</v>
      </c>
      <c r="D91" s="29" t="s">
        <v>151</v>
      </c>
      <c r="E91" s="4" t="s">
        <v>48</v>
      </c>
      <c r="F91" s="4" t="s">
        <v>118</v>
      </c>
    </row>
    <row r="92" spans="1:6" ht="14.25" customHeight="1" x14ac:dyDescent="0.35">
      <c r="A92" s="3" t="str">
        <f t="shared" si="2"/>
        <v>35TKB1</v>
      </c>
      <c r="B92" s="9">
        <v>35</v>
      </c>
      <c r="C92" s="28">
        <v>1504</v>
      </c>
      <c r="D92" s="25" t="s">
        <v>152</v>
      </c>
      <c r="E92" s="4" t="s">
        <v>48</v>
      </c>
      <c r="F92" s="4" t="s">
        <v>118</v>
      </c>
    </row>
    <row r="93" spans="1:6" ht="14.25" customHeight="1" x14ac:dyDescent="0.35">
      <c r="A93" s="3" t="str">
        <f t="shared" si="2"/>
        <v>36TKB1</v>
      </c>
      <c r="B93" s="9">
        <v>36</v>
      </c>
      <c r="C93" s="9">
        <v>1535</v>
      </c>
      <c r="D93" s="27" t="s">
        <v>153</v>
      </c>
      <c r="E93" s="4" t="s">
        <v>48</v>
      </c>
      <c r="F93" s="4" t="s">
        <v>118</v>
      </c>
    </row>
    <row r="94" spans="1:6" ht="14.25" customHeight="1" x14ac:dyDescent="0.35">
      <c r="A94" s="3" t="str">
        <f t="shared" si="2"/>
        <v>37TKB1</v>
      </c>
      <c r="B94" s="3">
        <v>37</v>
      </c>
      <c r="D94" s="3" t="s">
        <v>154</v>
      </c>
      <c r="E94" s="4" t="s">
        <v>48</v>
      </c>
      <c r="F94" s="4" t="s">
        <v>118</v>
      </c>
    </row>
    <row r="95" spans="1:6" ht="14.25" customHeight="1" x14ac:dyDescent="0.35">
      <c r="A95" s="3" t="str">
        <f t="shared" si="2"/>
        <v/>
      </c>
    </row>
    <row r="96" spans="1:6" ht="14.25" customHeight="1" x14ac:dyDescent="0.35">
      <c r="A96" s="3" t="str">
        <f t="shared" si="2"/>
        <v/>
      </c>
    </row>
    <row r="97" spans="1:6" ht="14.25" customHeight="1" x14ac:dyDescent="0.35">
      <c r="A97" s="3" t="str">
        <f t="shared" si="2"/>
        <v/>
      </c>
    </row>
    <row r="98" spans="1:6" ht="14.25" customHeight="1" x14ac:dyDescent="0.35">
      <c r="A98" s="3" t="str">
        <f t="shared" si="2"/>
        <v>1TKB2</v>
      </c>
      <c r="B98" s="30">
        <v>1</v>
      </c>
      <c r="C98" s="9">
        <v>1386</v>
      </c>
      <c r="D98" s="27" t="s">
        <v>155</v>
      </c>
      <c r="E98" s="4" t="s">
        <v>49</v>
      </c>
      <c r="F98" s="4" t="s">
        <v>156</v>
      </c>
    </row>
    <row r="99" spans="1:6" ht="14.25" customHeight="1" x14ac:dyDescent="0.35">
      <c r="A99" s="3" t="str">
        <f t="shared" si="2"/>
        <v>2TKB2</v>
      </c>
      <c r="B99" s="30">
        <v>2</v>
      </c>
      <c r="C99" s="9">
        <v>1428</v>
      </c>
      <c r="D99" s="31" t="s">
        <v>157</v>
      </c>
      <c r="E99" s="4" t="s">
        <v>49</v>
      </c>
      <c r="F99" s="4" t="s">
        <v>156</v>
      </c>
    </row>
    <row r="100" spans="1:6" ht="14.25" customHeight="1" x14ac:dyDescent="0.35">
      <c r="A100" s="3" t="str">
        <f t="shared" ref="A100:A131" si="3">B100&amp;E100</f>
        <v>3TKB2</v>
      </c>
      <c r="B100" s="30">
        <v>3</v>
      </c>
      <c r="C100" s="9">
        <v>1429</v>
      </c>
      <c r="D100" s="26" t="s">
        <v>158</v>
      </c>
      <c r="E100" s="4" t="s">
        <v>49</v>
      </c>
      <c r="F100" s="4" t="s">
        <v>156</v>
      </c>
    </row>
    <row r="101" spans="1:6" ht="14.25" customHeight="1" x14ac:dyDescent="0.35">
      <c r="A101" s="3" t="str">
        <f t="shared" si="3"/>
        <v>4TKB2</v>
      </c>
      <c r="B101" s="30">
        <v>4</v>
      </c>
      <c r="C101" s="9">
        <v>1430</v>
      </c>
      <c r="D101" s="32" t="s">
        <v>159</v>
      </c>
      <c r="E101" s="4" t="s">
        <v>49</v>
      </c>
      <c r="F101" s="4" t="s">
        <v>156</v>
      </c>
    </row>
    <row r="102" spans="1:6" ht="14.25" customHeight="1" x14ac:dyDescent="0.35">
      <c r="A102" s="3" t="str">
        <f t="shared" si="3"/>
        <v>5TKB2</v>
      </c>
      <c r="B102" s="30">
        <v>5</v>
      </c>
      <c r="C102" s="9">
        <v>1432</v>
      </c>
      <c r="D102" s="26" t="s">
        <v>160</v>
      </c>
      <c r="E102" s="4" t="s">
        <v>49</v>
      </c>
      <c r="F102" s="4" t="s">
        <v>156</v>
      </c>
    </row>
    <row r="103" spans="1:6" ht="14.25" customHeight="1" x14ac:dyDescent="0.35">
      <c r="A103" s="3" t="str">
        <f t="shared" si="3"/>
        <v>6TKB2</v>
      </c>
      <c r="B103" s="30">
        <v>6</v>
      </c>
      <c r="C103" s="9">
        <v>1433</v>
      </c>
      <c r="D103" s="27" t="s">
        <v>161</v>
      </c>
      <c r="E103" s="4" t="s">
        <v>49</v>
      </c>
      <c r="F103" s="4" t="s">
        <v>156</v>
      </c>
    </row>
    <row r="104" spans="1:6" ht="14.25" customHeight="1" x14ac:dyDescent="0.35">
      <c r="A104" s="3" t="str">
        <f t="shared" si="3"/>
        <v>7TKB2</v>
      </c>
      <c r="B104" s="30">
        <v>7</v>
      </c>
      <c r="C104" s="9">
        <v>1435</v>
      </c>
      <c r="D104" s="26" t="s">
        <v>162</v>
      </c>
      <c r="E104" s="4" t="s">
        <v>49</v>
      </c>
      <c r="F104" s="4" t="s">
        <v>156</v>
      </c>
    </row>
    <row r="105" spans="1:6" ht="14.25" customHeight="1" x14ac:dyDescent="0.35">
      <c r="A105" s="3" t="str">
        <f t="shared" si="3"/>
        <v>8TKB2</v>
      </c>
      <c r="B105" s="30">
        <v>8</v>
      </c>
      <c r="C105" s="9">
        <v>1436</v>
      </c>
      <c r="D105" s="27" t="s">
        <v>163</v>
      </c>
      <c r="E105" s="4" t="s">
        <v>49</v>
      </c>
      <c r="F105" s="4" t="s">
        <v>156</v>
      </c>
    </row>
    <row r="106" spans="1:6" ht="14.25" customHeight="1" x14ac:dyDescent="0.35">
      <c r="A106" s="3" t="str">
        <f t="shared" si="3"/>
        <v>9TKB2</v>
      </c>
      <c r="B106" s="30">
        <v>9</v>
      </c>
      <c r="C106" s="9">
        <v>1437</v>
      </c>
      <c r="D106" s="26" t="s">
        <v>164</v>
      </c>
      <c r="E106" s="4" t="s">
        <v>49</v>
      </c>
      <c r="F106" s="4" t="s">
        <v>156</v>
      </c>
    </row>
    <row r="107" spans="1:6" ht="14.25" customHeight="1" x14ac:dyDescent="0.35">
      <c r="A107" s="3" t="str">
        <f t="shared" si="3"/>
        <v>10TKB2</v>
      </c>
      <c r="B107" s="30">
        <v>10</v>
      </c>
      <c r="C107" s="9">
        <v>1438</v>
      </c>
      <c r="D107" s="26" t="s">
        <v>165</v>
      </c>
      <c r="E107" s="4" t="s">
        <v>49</v>
      </c>
      <c r="F107" s="4" t="s">
        <v>156</v>
      </c>
    </row>
    <row r="108" spans="1:6" ht="14.25" customHeight="1" x14ac:dyDescent="0.35">
      <c r="A108" s="3" t="str">
        <f t="shared" si="3"/>
        <v>11TKB2</v>
      </c>
      <c r="B108" s="30">
        <v>11</v>
      </c>
      <c r="C108" s="9">
        <v>1440</v>
      </c>
      <c r="D108" s="27" t="s">
        <v>166</v>
      </c>
      <c r="E108" s="4" t="s">
        <v>49</v>
      </c>
      <c r="F108" s="4" t="s">
        <v>156</v>
      </c>
    </row>
    <row r="109" spans="1:6" ht="14.25" customHeight="1" x14ac:dyDescent="0.35">
      <c r="A109" s="3" t="str">
        <f t="shared" si="3"/>
        <v>12TKB2</v>
      </c>
      <c r="B109" s="30">
        <v>12</v>
      </c>
      <c r="C109" s="9">
        <v>1442</v>
      </c>
      <c r="D109" s="26" t="s">
        <v>167</v>
      </c>
      <c r="E109" s="4" t="s">
        <v>49</v>
      </c>
      <c r="F109" s="4" t="s">
        <v>156</v>
      </c>
    </row>
    <row r="110" spans="1:6" ht="14.25" customHeight="1" x14ac:dyDescent="0.35">
      <c r="A110" s="3" t="str">
        <f t="shared" si="3"/>
        <v>13TKB2</v>
      </c>
      <c r="B110" s="30">
        <v>13</v>
      </c>
      <c r="C110" s="9">
        <v>1443</v>
      </c>
      <c r="D110" s="27" t="s">
        <v>168</v>
      </c>
      <c r="E110" s="4" t="s">
        <v>49</v>
      </c>
      <c r="F110" s="4" t="s">
        <v>156</v>
      </c>
    </row>
    <row r="111" spans="1:6" ht="14.25" customHeight="1" x14ac:dyDescent="0.35">
      <c r="A111" s="3" t="str">
        <f t="shared" si="3"/>
        <v>14TKB2</v>
      </c>
      <c r="B111" s="30">
        <v>14</v>
      </c>
      <c r="C111" s="9">
        <v>1444</v>
      </c>
      <c r="D111" s="26" t="s">
        <v>169</v>
      </c>
      <c r="E111" s="4" t="s">
        <v>49</v>
      </c>
      <c r="F111" s="4" t="s">
        <v>156</v>
      </c>
    </row>
    <row r="112" spans="1:6" ht="14.25" customHeight="1" x14ac:dyDescent="0.35">
      <c r="A112" s="3" t="str">
        <f t="shared" si="3"/>
        <v>15TKB2</v>
      </c>
      <c r="B112" s="30">
        <v>15</v>
      </c>
      <c r="C112" s="27">
        <v>1445</v>
      </c>
      <c r="D112" s="26" t="s">
        <v>170</v>
      </c>
      <c r="E112" s="4" t="s">
        <v>49</v>
      </c>
      <c r="F112" s="4" t="s">
        <v>156</v>
      </c>
    </row>
    <row r="113" spans="1:6" ht="14.25" customHeight="1" x14ac:dyDescent="0.35">
      <c r="A113" s="3" t="str">
        <f t="shared" si="3"/>
        <v>16TKB2</v>
      </c>
      <c r="B113" s="30">
        <v>16</v>
      </c>
      <c r="C113" s="9">
        <v>1446</v>
      </c>
      <c r="D113" s="27" t="s">
        <v>171</v>
      </c>
      <c r="E113" s="4" t="s">
        <v>49</v>
      </c>
      <c r="F113" s="4" t="s">
        <v>156</v>
      </c>
    </row>
    <row r="114" spans="1:6" ht="14.25" customHeight="1" x14ac:dyDescent="0.35">
      <c r="A114" s="3" t="str">
        <f t="shared" si="3"/>
        <v>17TKB2</v>
      </c>
      <c r="B114" s="30">
        <v>17</v>
      </c>
      <c r="C114" s="9">
        <v>1447</v>
      </c>
      <c r="D114" s="27" t="s">
        <v>172</v>
      </c>
      <c r="E114" s="4" t="s">
        <v>49</v>
      </c>
      <c r="F114" s="4" t="s">
        <v>156</v>
      </c>
    </row>
    <row r="115" spans="1:6" ht="14.25" customHeight="1" x14ac:dyDescent="0.35">
      <c r="A115" s="3" t="str">
        <f t="shared" si="3"/>
        <v>18TKB2</v>
      </c>
      <c r="B115" s="30">
        <v>18</v>
      </c>
      <c r="C115" s="9">
        <v>1448</v>
      </c>
      <c r="D115" s="27" t="s">
        <v>173</v>
      </c>
      <c r="E115" s="4" t="s">
        <v>49</v>
      </c>
      <c r="F115" s="4" t="s">
        <v>156</v>
      </c>
    </row>
    <row r="116" spans="1:6" ht="14.25" customHeight="1" x14ac:dyDescent="0.35">
      <c r="A116" s="3" t="str">
        <f t="shared" si="3"/>
        <v>19TKB2</v>
      </c>
      <c r="B116" s="30">
        <v>19</v>
      </c>
      <c r="C116" s="9">
        <v>1451</v>
      </c>
      <c r="D116" s="27" t="s">
        <v>174</v>
      </c>
      <c r="E116" s="4" t="s">
        <v>49</v>
      </c>
      <c r="F116" s="4" t="s">
        <v>156</v>
      </c>
    </row>
    <row r="117" spans="1:6" ht="14.25" customHeight="1" x14ac:dyDescent="0.35">
      <c r="A117" s="3" t="str">
        <f t="shared" si="3"/>
        <v>20TKB2</v>
      </c>
      <c r="B117" s="30">
        <v>20</v>
      </c>
      <c r="C117" s="9">
        <v>1452</v>
      </c>
      <c r="D117" s="26" t="s">
        <v>175</v>
      </c>
      <c r="E117" s="4" t="s">
        <v>49</v>
      </c>
      <c r="F117" s="4" t="s">
        <v>156</v>
      </c>
    </row>
    <row r="118" spans="1:6" ht="14.25" customHeight="1" x14ac:dyDescent="0.35">
      <c r="A118" s="3" t="str">
        <f t="shared" si="3"/>
        <v>21TKB2</v>
      </c>
      <c r="B118" s="30">
        <v>21</v>
      </c>
      <c r="C118" s="9">
        <v>1453</v>
      </c>
      <c r="D118" s="27" t="s">
        <v>176</v>
      </c>
      <c r="E118" s="4" t="s">
        <v>49</v>
      </c>
      <c r="F118" s="4" t="s">
        <v>156</v>
      </c>
    </row>
    <row r="119" spans="1:6" ht="14.25" customHeight="1" x14ac:dyDescent="0.35">
      <c r="A119" s="3" t="str">
        <f t="shared" si="3"/>
        <v>22TKB2</v>
      </c>
      <c r="B119" s="30">
        <v>22</v>
      </c>
      <c r="C119" s="9">
        <v>1454</v>
      </c>
      <c r="D119" s="27" t="s">
        <v>177</v>
      </c>
      <c r="E119" s="4" t="s">
        <v>49</v>
      </c>
      <c r="F119" s="4" t="s">
        <v>156</v>
      </c>
    </row>
    <row r="120" spans="1:6" ht="14.25" customHeight="1" x14ac:dyDescent="0.35">
      <c r="A120" s="3" t="str">
        <f t="shared" si="3"/>
        <v>23TKB2</v>
      </c>
      <c r="B120" s="30">
        <v>23</v>
      </c>
      <c r="C120" s="9">
        <v>1455</v>
      </c>
      <c r="D120" s="27" t="s">
        <v>178</v>
      </c>
      <c r="E120" s="4" t="s">
        <v>49</v>
      </c>
      <c r="F120" s="4" t="s">
        <v>156</v>
      </c>
    </row>
    <row r="121" spans="1:6" ht="14.25" customHeight="1" x14ac:dyDescent="0.35">
      <c r="A121" s="3" t="str">
        <f t="shared" si="3"/>
        <v>24TKB2</v>
      </c>
      <c r="B121" s="30">
        <v>24</v>
      </c>
      <c r="C121" s="9">
        <v>1456</v>
      </c>
      <c r="D121" s="26" t="s">
        <v>179</v>
      </c>
      <c r="E121" s="4" t="s">
        <v>49</v>
      </c>
      <c r="F121" s="4" t="s">
        <v>156</v>
      </c>
    </row>
    <row r="122" spans="1:6" ht="14.25" customHeight="1" x14ac:dyDescent="0.35">
      <c r="A122" s="3" t="str">
        <f t="shared" si="3"/>
        <v>25TKB2</v>
      </c>
      <c r="B122" s="30">
        <v>25</v>
      </c>
      <c r="C122" s="9">
        <v>1457</v>
      </c>
      <c r="D122" s="27" t="s">
        <v>180</v>
      </c>
      <c r="E122" s="4" t="s">
        <v>49</v>
      </c>
      <c r="F122" s="4" t="s">
        <v>156</v>
      </c>
    </row>
    <row r="123" spans="1:6" ht="14.25" customHeight="1" x14ac:dyDescent="0.35">
      <c r="A123" s="3" t="str">
        <f t="shared" si="3"/>
        <v>26TKB2</v>
      </c>
      <c r="B123" s="30">
        <v>26</v>
      </c>
      <c r="C123" s="9">
        <v>1458</v>
      </c>
      <c r="D123" s="27" t="s">
        <v>181</v>
      </c>
      <c r="E123" s="4" t="s">
        <v>49</v>
      </c>
      <c r="F123" s="4" t="s">
        <v>156</v>
      </c>
    </row>
    <row r="124" spans="1:6" ht="14.25" customHeight="1" x14ac:dyDescent="0.35">
      <c r="A124" s="3" t="str">
        <f t="shared" si="3"/>
        <v>27TKB2</v>
      </c>
      <c r="B124" s="30">
        <v>27</v>
      </c>
      <c r="C124" s="9">
        <v>1461</v>
      </c>
      <c r="D124" s="25" t="s">
        <v>182</v>
      </c>
      <c r="E124" s="4" t="s">
        <v>49</v>
      </c>
      <c r="F124" s="4" t="s">
        <v>156</v>
      </c>
    </row>
    <row r="125" spans="1:6" ht="14.25" customHeight="1" x14ac:dyDescent="0.35">
      <c r="A125" s="3" t="str">
        <f t="shared" si="3"/>
        <v>28TKB2</v>
      </c>
      <c r="B125" s="30">
        <v>28</v>
      </c>
      <c r="C125" s="9">
        <v>1462</v>
      </c>
      <c r="D125" s="27" t="s">
        <v>183</v>
      </c>
      <c r="E125" s="4" t="s">
        <v>49</v>
      </c>
      <c r="F125" s="4" t="s">
        <v>156</v>
      </c>
    </row>
    <row r="126" spans="1:6" ht="14.25" customHeight="1" x14ac:dyDescent="0.35">
      <c r="A126" s="3" t="str">
        <f t="shared" si="3"/>
        <v>29TKB2</v>
      </c>
      <c r="B126" s="30">
        <v>29</v>
      </c>
      <c r="C126" s="9">
        <v>1463</v>
      </c>
      <c r="D126" s="27" t="s">
        <v>184</v>
      </c>
      <c r="E126" s="4" t="s">
        <v>49</v>
      </c>
      <c r="F126" s="4" t="s">
        <v>156</v>
      </c>
    </row>
    <row r="127" spans="1:6" ht="14.25" customHeight="1" x14ac:dyDescent="0.35">
      <c r="A127" s="3" t="str">
        <f t="shared" si="3"/>
        <v>30TKB2</v>
      </c>
      <c r="B127" s="30">
        <v>30</v>
      </c>
      <c r="C127" s="9">
        <v>1465</v>
      </c>
      <c r="D127" s="27" t="s">
        <v>185</v>
      </c>
      <c r="E127" s="4" t="s">
        <v>49</v>
      </c>
      <c r="F127" s="4" t="s">
        <v>156</v>
      </c>
    </row>
    <row r="128" spans="1:6" ht="14.25" customHeight="1" x14ac:dyDescent="0.35">
      <c r="A128" s="3" t="str">
        <f t="shared" si="3"/>
        <v>31TKB2</v>
      </c>
      <c r="B128" s="30">
        <v>31</v>
      </c>
      <c r="C128" s="9">
        <v>1466</v>
      </c>
      <c r="D128" s="27" t="s">
        <v>186</v>
      </c>
      <c r="E128" s="4" t="s">
        <v>49</v>
      </c>
      <c r="F128" s="4" t="s">
        <v>156</v>
      </c>
    </row>
    <row r="129" spans="1:6" ht="14.25" customHeight="1" x14ac:dyDescent="0.35">
      <c r="A129" s="3" t="str">
        <f t="shared" si="3"/>
        <v>32TKB2</v>
      </c>
      <c r="B129" s="30">
        <v>32</v>
      </c>
      <c r="C129" s="9">
        <v>1468</v>
      </c>
      <c r="D129" s="27" t="s">
        <v>187</v>
      </c>
      <c r="E129" s="4" t="s">
        <v>49</v>
      </c>
      <c r="F129" s="4" t="s">
        <v>156</v>
      </c>
    </row>
    <row r="130" spans="1:6" ht="14.25" customHeight="1" x14ac:dyDescent="0.35">
      <c r="A130" s="3" t="str">
        <f t="shared" si="3"/>
        <v>33TKB2</v>
      </c>
      <c r="B130" s="30">
        <v>33</v>
      </c>
      <c r="C130" s="9">
        <v>1470</v>
      </c>
      <c r="D130" s="26" t="s">
        <v>188</v>
      </c>
      <c r="E130" s="4" t="s">
        <v>49</v>
      </c>
      <c r="F130" s="4" t="s">
        <v>156</v>
      </c>
    </row>
    <row r="131" spans="1:6" ht="14.25" customHeight="1" x14ac:dyDescent="0.35">
      <c r="A131" s="3" t="str">
        <f t="shared" si="3"/>
        <v>34TKB2</v>
      </c>
      <c r="B131" s="30">
        <v>34</v>
      </c>
      <c r="C131" s="9">
        <v>1471</v>
      </c>
      <c r="D131" s="26" t="s">
        <v>189</v>
      </c>
      <c r="E131" s="4" t="s">
        <v>49</v>
      </c>
      <c r="F131" s="4" t="s">
        <v>156</v>
      </c>
    </row>
    <row r="132" spans="1:6" ht="14.25" customHeight="1" x14ac:dyDescent="0.35">
      <c r="A132" s="3" t="str">
        <f t="shared" ref="A132:A163" si="4">B132&amp;E132</f>
        <v>35TKB2</v>
      </c>
      <c r="B132" s="30">
        <v>35</v>
      </c>
      <c r="C132" s="9">
        <v>1472</v>
      </c>
      <c r="D132" s="27" t="s">
        <v>190</v>
      </c>
      <c r="E132" s="4" t="s">
        <v>49</v>
      </c>
      <c r="F132" s="4" t="s">
        <v>156</v>
      </c>
    </row>
    <row r="133" spans="1:6" ht="14.25" customHeight="1" x14ac:dyDescent="0.35">
      <c r="A133" s="3" t="str">
        <f t="shared" si="4"/>
        <v>36TKB2</v>
      </c>
      <c r="B133" s="30">
        <v>36</v>
      </c>
      <c r="C133" s="9">
        <v>1475</v>
      </c>
      <c r="D133" s="27" t="s">
        <v>191</v>
      </c>
      <c r="E133" s="4" t="s">
        <v>49</v>
      </c>
      <c r="F133" s="4" t="s">
        <v>156</v>
      </c>
    </row>
    <row r="134" spans="1:6" ht="14.25" customHeight="1" x14ac:dyDescent="0.35"/>
    <row r="135" spans="1:6" ht="14.25" customHeight="1" x14ac:dyDescent="0.35"/>
    <row r="136" spans="1:6" ht="14.25" customHeight="1" x14ac:dyDescent="0.35"/>
    <row r="137" spans="1:6" ht="14.25" customHeight="1" x14ac:dyDescent="0.35"/>
    <row r="138" spans="1:6" ht="14.25" customHeight="1" x14ac:dyDescent="0.35"/>
    <row r="139" spans="1:6" ht="14.25" customHeight="1" x14ac:dyDescent="0.35"/>
    <row r="140" spans="1:6" ht="14.25" customHeight="1" x14ac:dyDescent="0.35"/>
    <row r="141" spans="1:6" ht="14.25" customHeight="1" x14ac:dyDescent="0.35"/>
    <row r="142" spans="1:6" ht="14.25" customHeight="1" x14ac:dyDescent="0.35"/>
    <row r="143" spans="1:6" ht="14.25" customHeight="1" x14ac:dyDescent="0.35"/>
    <row r="144" spans="1:6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">
    <mergeCell ref="D2:D3"/>
    <mergeCell ref="B2:C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Absen PG</vt:lpstr>
      <vt:lpstr>TKa</vt:lpstr>
      <vt:lpstr>TKB1</vt:lpstr>
      <vt:lpstr>TKB(2)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yonatan</dc:creator>
  <cp:lastModifiedBy>yonatan kwee</cp:lastModifiedBy>
  <dcterms:created xsi:type="dcterms:W3CDTF">2025-08-30T01:54:57Z</dcterms:created>
  <dcterms:modified xsi:type="dcterms:W3CDTF">2026-04-16T04:31:14Z</dcterms:modified>
</cp:coreProperties>
</file>