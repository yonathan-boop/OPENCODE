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memory\PC-06\docs\"/>
    </mc:Choice>
  </mc:AlternateContent>
  <xr:revisionPtr revIDLastSave="0" documentId="13_ncr:1_{CE2E8911-8462-443C-903D-554296FDA2D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bsen PG" sheetId="1" r:id="rId1"/>
    <sheet name="TKa" sheetId="2" r:id="rId2"/>
    <sheet name="TKB1" sheetId="3" r:id="rId3"/>
    <sheet name="TKB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9" i="4" l="1"/>
  <c r="B48" i="4"/>
  <c r="B47" i="4"/>
  <c r="B46" i="4"/>
  <c r="B45" i="4"/>
  <c r="B44" i="4"/>
  <c r="B43" i="4"/>
  <c r="B49" i="3"/>
  <c r="B48" i="3"/>
  <c r="B47" i="3"/>
  <c r="B46" i="3"/>
  <c r="B45" i="3"/>
  <c r="B44" i="3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<sst xmlns="http://schemas.openxmlformats.org/spreadsheetml/2006/main" count="417" uniqueCount="176">
  <si>
    <t xml:space="preserve">               TK SWASTA METHODIST-11</t>
  </si>
  <si>
    <t>S</t>
  </si>
  <si>
    <t xml:space="preserve">               DAFTAR NAMA MURID T.P. 2025/2026</t>
  </si>
  <si>
    <t>I</t>
  </si>
  <si>
    <t>PG</t>
  </si>
  <si>
    <t>Kelas</t>
  </si>
  <si>
    <t>Walikelas</t>
  </si>
  <si>
    <t>Nomor</t>
  </si>
  <si>
    <t>Nama</t>
  </si>
  <si>
    <t>April</t>
  </si>
  <si>
    <t>Urt</t>
  </si>
  <si>
    <t>Induk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</si>
  <si>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</si>
  <si>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</si>
  <si>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</si>
  <si>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</si>
  <si>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</si>
  <si>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</si>
  <si>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</si>
  <si>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</si>
  <si>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</si>
  <si>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</si>
  <si>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</si>
  <si>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</si>
  <si>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</si>
  <si>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</si>
  <si>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</si>
  <si>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</si>
  <si>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</si>
  <si>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</si>
  <si>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</si>
  <si>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</si>
  <si>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</si>
  <si>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</si>
  <si>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</si>
  <si>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</si>
  <si>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</si>
  <si>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</si>
  <si>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</si>
  <si>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</si>
  <si>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</si>
  <si>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</si>
  <si>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</si>
  <si>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</t>
  </si>
  <si>
    <t>Total</t>
  </si>
  <si>
    <t>Edbert Reynaldo Lim</t>
  </si>
  <si>
    <t>Axelle Tiandra Ong</t>
  </si>
  <si>
    <t>Carencya Chailinskie</t>
  </si>
  <si>
    <t>Elvano Leonardi</t>
  </si>
  <si>
    <t>.</t>
  </si>
  <si>
    <t xml:space="preserve">Evano Ryu Tanzil </t>
  </si>
  <si>
    <t>Gareth Grealish Dharmawan</t>
  </si>
  <si>
    <t>Joverick Walton</t>
  </si>
  <si>
    <t>Kaylyn Gavril Winlie</t>
  </si>
  <si>
    <t>Rachel Crystaline Benyamin</t>
  </si>
  <si>
    <t>Rachel Veisya Chan</t>
  </si>
  <si>
    <t>Rachellyn Gracia Chindra</t>
  </si>
  <si>
    <t>Roderick Yang</t>
  </si>
  <si>
    <t>TKA</t>
  </si>
  <si>
    <t>M</t>
  </si>
  <si>
    <t>Aldrich Bona Munson Nababan</t>
  </si>
  <si>
    <t>Azka Andreas</t>
  </si>
  <si>
    <t>Celine Grace Zhang</t>
  </si>
  <si>
    <t>Clarence Queenicca Zhang</t>
  </si>
  <si>
    <t>Clarissa Jovanka Sugiharto</t>
  </si>
  <si>
    <t>Clarissa Lim</t>
  </si>
  <si>
    <t>Clarita Olivia Sinaga</t>
  </si>
  <si>
    <t>Coryn Aurora Zhan</t>
  </si>
  <si>
    <t>Darren Elvano</t>
  </si>
  <si>
    <t>Darren Tristan</t>
  </si>
  <si>
    <t>Davian Kenrick Lu</t>
  </si>
  <si>
    <t>Devan Ivander Siahaan</t>
  </si>
  <si>
    <t>Elsa Harianja</t>
  </si>
  <si>
    <t>Ferencia Lu</t>
  </si>
  <si>
    <t>Jemia Zhevano Yamresa Kembaren</t>
  </si>
  <si>
    <t>Jocelyn Marcella Su</t>
  </si>
  <si>
    <t>Joevanca Chesa Athalia</t>
  </si>
  <si>
    <t>Kayla Hosanna Charissa Sihombing</t>
  </si>
  <si>
    <t>Keilyn Queensha Ong</t>
  </si>
  <si>
    <t>Keyla Toshiro</t>
  </si>
  <si>
    <t>Liora Eliana Panjaitan</t>
  </si>
  <si>
    <t>Lishaalini Krisna Naidu</t>
  </si>
  <si>
    <t>Melviano Arentino Wijaya</t>
  </si>
  <si>
    <t>Queenly Nathaniela</t>
  </si>
  <si>
    <t>Richelcia Wijaya</t>
  </si>
  <si>
    <t>Ricson Valenthino</t>
  </si>
  <si>
    <t>Rui Reynara Shen</t>
  </si>
  <si>
    <t>Shane Michael Lienardie</t>
  </si>
  <si>
    <t>Shelomitha Eliora Simanjuntak</t>
  </si>
  <si>
    <t>Willian Geoffrey Utama</t>
  </si>
  <si>
    <t>TKB1</t>
  </si>
  <si>
    <t>Kyla Nathania Chang</t>
  </si>
  <si>
    <t>Muhammad Raffasya Aditya</t>
  </si>
  <si>
    <t>Valerie Tohvinsky</t>
  </si>
  <si>
    <t>Vincent Andreanus</t>
  </si>
  <si>
    <t>Edmond Axelle Chan</t>
  </si>
  <si>
    <t>Raileen Valerie Hugo</t>
  </si>
  <si>
    <t>Abraham Katikana Ginting</t>
  </si>
  <si>
    <t>Adelia Manuella Br. Butar-butar</t>
  </si>
  <si>
    <t>Arnold Johannes Lutan</t>
  </si>
  <si>
    <t>Bhaskara Salomo Siregar</t>
  </si>
  <si>
    <t>Darren Almero Chen</t>
  </si>
  <si>
    <t>Darren Hasiholan Nahulae</t>
  </si>
  <si>
    <t>Effendi</t>
  </si>
  <si>
    <t>Geonathan Samudra Simamora</t>
  </si>
  <si>
    <t>Gestalt Jesen Edellio Manurung</t>
  </si>
  <si>
    <t>Grace Felicia Simbolon</t>
  </si>
  <si>
    <t>Janeeta Elora Silaban</t>
  </si>
  <si>
    <t>Jayden Febrian Chai</t>
  </si>
  <si>
    <t>Jocelin Samosir</t>
  </si>
  <si>
    <t>Kartika Joceline Simanjuntak</t>
  </si>
  <si>
    <t>Larasaty Pramidita Sihite</t>
  </si>
  <si>
    <t>Michelle Angela Tan</t>
  </si>
  <si>
    <t>Mikhael Glorius Simbolon</t>
  </si>
  <si>
    <t>Naraya Elsandri Br. Sembiring</t>
  </si>
  <si>
    <t>Reinier Jackson Yaputra</t>
  </si>
  <si>
    <t>Rweno Richie</t>
  </si>
  <si>
    <t>Sagiv Levinskie Nainggolan</t>
  </si>
  <si>
    <t>Sean Milan Saragih</t>
  </si>
  <si>
    <t>Sheera Leticia Nainggolan</t>
  </si>
  <si>
    <t>Sheryn Florencia Nainggolan</t>
  </si>
  <si>
    <t>Trini Arindy Br. Pasaribu</t>
  </si>
  <si>
    <t>Valencia Tjuatja</t>
  </si>
  <si>
    <t>Vallerie Laurist</t>
  </si>
  <si>
    <t>Vionetta Brylie Siregar</t>
  </si>
  <si>
    <t>Wilson Nicholas Lim</t>
  </si>
  <si>
    <t>Gabe Cristiano Gultom</t>
  </si>
  <si>
    <t>helena</t>
  </si>
  <si>
    <t>TKB2</t>
  </si>
  <si>
    <t>Chelsea Valerie</t>
  </si>
  <si>
    <t>Adrellia Tessya Samantha Sianturi</t>
  </si>
  <si>
    <t>Arfan Ginting</t>
  </si>
  <si>
    <t>Brienne Nathania Carolyne Pakpahan</t>
  </si>
  <si>
    <t>Chester Tankino</t>
  </si>
  <si>
    <t>Cristine Dharani</t>
  </si>
  <si>
    <t>Gavinta Elon Siregar</t>
  </si>
  <si>
    <t>Gavrila Maranatha Maris Panjaitan</t>
  </si>
  <si>
    <t>Given Ryshaka Simbolon</t>
  </si>
  <si>
    <t>Joachim Yang</t>
  </si>
  <si>
    <t>Michelle Kimberly Gui</t>
  </si>
  <si>
    <t>Pangeran Hagro Haloho</t>
  </si>
  <si>
    <t>Pedro Karvinta Sembiring</t>
  </si>
  <si>
    <t>Richa Dwily</t>
  </si>
  <si>
    <t>Robyn Imanuel Louis</t>
  </si>
  <si>
    <t>Shayna Amoureyza Sitepu</t>
  </si>
  <si>
    <t>Stevia Chrisela Chai</t>
  </si>
  <si>
    <t>Theo Rafa Pakpahan</t>
  </si>
  <si>
    <t>Vinnie Gea Halim</t>
  </si>
  <si>
    <t>Abercio Kiano Drake</t>
  </si>
  <si>
    <t>Aleysia Callista Br Ompusunggu</t>
  </si>
  <si>
    <t>Alvaro Gavriel Karo Karo</t>
  </si>
  <si>
    <t>Bryan Maxwell Angkasa</t>
  </si>
  <si>
    <t>Christine Laotan</t>
  </si>
  <si>
    <t>Claudia Zetta Br Tarigan</t>
  </si>
  <si>
    <t>Daven Gavriel Winlie</t>
  </si>
  <si>
    <t>Felix Louis</t>
  </si>
  <si>
    <t>Glerine Richya Tumanggor</t>
  </si>
  <si>
    <t>Grace Nataly</t>
  </si>
  <si>
    <t>Greysia Dhita Panggabean</t>
  </si>
  <si>
    <t>Jasmine Valerie Yap</t>
  </si>
  <si>
    <t>Kenstein Elton Lim</t>
  </si>
  <si>
    <t>Kenzo Kiano</t>
  </si>
  <si>
    <t>Marquez Boas Aritonang</t>
  </si>
  <si>
    <t>Peter Djuandi</t>
  </si>
  <si>
    <t>Hiromi Sheena Silalahi</t>
  </si>
  <si>
    <t>0221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</si>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</sst>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4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shrinkToFit="1"/>
    </xf>
    <xf numFmtId="0" fontId="5" fillId="3" borderId="3" xfId="0" applyFont="1" applyFill="1" applyBorder="1"/>
    <xf numFmtId="0" fontId="10" fillId="0" borderId="0" xfId="0" applyFont="1" applyAlignment="1">
      <alignment horizontal="right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4" borderId="3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2" borderId="5" xfId="0" applyFont="1" applyFill="1" applyBorder="1" applyAlignment="1">
      <alignment horizontal="center" vertical="center"/>
    </xf>
    <xf numFmtId="0" fontId="0" fillId="0" borderId="4" xfId="0" applyBorder="1"/>
    <xf numFmtId="0" fontId="2" fillId="0" borderId="6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/>
    </xf>
    <xf numFmtId="0" fontId="2" fillId="0" borderId="6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6" xfId="2" applyFont="1" applyBorder="1" applyAlignment="1">
      <alignment horizontal="left" vertical="center"/>
    </xf>
    <xf numFmtId="0" fontId="2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3" fillId="0" borderId="6" xfId="2" applyFont="1" applyBorder="1" applyAlignment="1">
      <alignment vertical="center"/>
    </xf>
  </cellXfs>
  <cellStyles count="3">
    <cellStyle name="Normal" xfId="0" builtinId="0"/>
    <cellStyle name="Normal 3" xfId="1" xr:uid="{C8128132-6EC6-4179-9E86-6BB9E494248C}"/>
    <cellStyle name="Normal 4" xfId="2" xr:uid="{78EB757F-7489-4D33-A9A7-18B8EF1C5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8"/>
  <sheetViews>
    <sheetView workbookViewId="0">
      <selection activeCell="B7" sqref="B7:C18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6" width="5" hidden="1" customWidth="1"/>
    <col min="17" max="34" width="5" customWidth="1"/>
    <col min="35" max="37" width="8.7265625" hidden="1" customWidth="1"/>
    <col min="38" max="41" width="5.54296875" customWidth="1"/>
  </cols>
  <sheetData>
    <row r="1" spans="1:41" ht="14.25" customHeight="1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1"/>
      <c r="R1" s="1"/>
      <c r="S1" s="1" t="s">
        <v>1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22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 t="s">
        <v>3</v>
      </c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23" t="s">
        <v>7</v>
      </c>
      <c r="B5" s="25"/>
      <c r="C5" s="26" t="s">
        <v>8</v>
      </c>
      <c r="D5" s="23" t="s">
        <v>9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5"/>
    </row>
    <row r="6" spans="1:41" ht="14.25" customHeight="1" x14ac:dyDescent="0.35">
      <c r="A6" s="6" t="s">
        <v>10</v>
      </c>
      <c r="B6" s="6" t="s">
        <v>11</v>
      </c>
      <c r="C6" s="27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8" t="s">
        <v>165</v>
      </c>
      <c r="C7" s="32" t="s">
        <v>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28" t="s">
        <v>166</v>
      </c>
      <c r="C8" s="34" t="s">
        <v>46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28" t="s">
        <v>167</v>
      </c>
      <c r="C9" s="34" t="s">
        <v>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28" t="s">
        <v>168</v>
      </c>
      <c r="C10" s="35" t="s">
        <v>50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K10" s="3" t="s">
        <v>49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28" t="s">
        <v>169</v>
      </c>
      <c r="C11" s="35" t="s">
        <v>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8" t="s">
        <v>170</v>
      </c>
      <c r="C12" s="33" t="s">
        <v>52</v>
      </c>
      <c r="D12" s="8" t="s">
        <v>1</v>
      </c>
      <c r="E12" s="8" t="s">
        <v>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8" t="s">
        <v>171</v>
      </c>
      <c r="C13" s="35" t="s">
        <v>53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</v>
      </c>
      <c r="Q13" s="8"/>
      <c r="R13" s="8" t="s">
        <v>1</v>
      </c>
      <c r="S13" s="8"/>
      <c r="T13" s="8" t="s">
        <v>1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8" t="s">
        <v>172</v>
      </c>
      <c r="C14" s="35" t="s">
        <v>54</v>
      </c>
      <c r="D14" s="8" t="s">
        <v>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L14" s="8"/>
      <c r="AM14" s="8"/>
      <c r="AN14" s="8"/>
      <c r="AO14" s="8"/>
    </row>
    <row r="15" spans="1:41" ht="12" customHeight="1" x14ac:dyDescent="0.35">
      <c r="A15" s="9">
        <v>9</v>
      </c>
      <c r="B15" s="28" t="s">
        <v>173</v>
      </c>
      <c r="C15" s="35" t="s">
        <v>55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8" t="s">
        <v>174</v>
      </c>
      <c r="C16" s="35" t="s">
        <v>56</v>
      </c>
      <c r="D16" s="8"/>
      <c r="E16" s="8"/>
      <c r="F16" s="8"/>
      <c r="G16" s="8"/>
      <c r="H16" s="8"/>
      <c r="I16" s="8"/>
      <c r="J16" s="8"/>
      <c r="K16" s="8" t="s">
        <v>49</v>
      </c>
      <c r="L16" s="8" t="s">
        <v>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8" t="s">
        <v>175</v>
      </c>
      <c r="C17" s="34" t="s">
        <v>57</v>
      </c>
      <c r="D17" s="8"/>
      <c r="E17" s="8"/>
      <c r="F17" s="8"/>
      <c r="G17" s="8"/>
      <c r="H17" s="8"/>
      <c r="I17" s="8" t="s">
        <v>1</v>
      </c>
      <c r="J17" s="8" t="s">
        <v>1</v>
      </c>
      <c r="K17" s="8" t="s">
        <v>1</v>
      </c>
      <c r="L17" s="8" t="s">
        <v>1</v>
      </c>
      <c r="M17" s="8"/>
      <c r="N17" s="8"/>
      <c r="O17" s="8"/>
      <c r="P17" s="8" t="s">
        <v>1</v>
      </c>
      <c r="Q17" s="8"/>
      <c r="R17" s="8" t="s">
        <v>1</v>
      </c>
      <c r="S17" s="8" t="s">
        <v>1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8"/>
      <c r="C18" s="35" t="s">
        <v>48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0" t="str">
        <f>IFERROR(VLOOKUP(A19&amp;$AJ$2,#REF!,4,FALSE), "")</f>
        <v/>
      </c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10" t="str">
        <f>IFERROR(VLOOKUP(A20&amp;$AJ$2,#REF!,4,FALSE), "")</f>
        <v/>
      </c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0" t="str">
        <f>IFERROR(VLOOKUP(A21&amp;$AJ$2,#REF!,4,FALSE), "")</f>
        <v/>
      </c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10" t="str">
        <f>IFERROR(VLOOKUP(A22&amp;$AJ$2,#REF!,4,FALSE), "")</f>
        <v/>
      </c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0" t="str">
        <f>IFERROR(VLOOKUP(A23&amp;$AJ$2,#REF!,4,FALSE), "")</f>
        <v/>
      </c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10" t="str">
        <f>IFERROR(VLOOKUP(A24&amp;$AJ$2,#REF!,4,FALSE), "")</f>
        <v/>
      </c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0" t="str">
        <f>IFERROR(VLOOKUP(A25&amp;$AJ$2,#REF!,4,FALSE), "")</f>
        <v/>
      </c>
      <c r="C25" s="1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10" t="str">
        <f>IFERROR(VLOOKUP(A26&amp;$AJ$2,#REF!,4,FALSE), "")</f>
        <v/>
      </c>
      <c r="C26" s="1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0" t="str">
        <f>IFERROR(VLOOKUP(A27&amp;$AJ$2,#REF!,4,FALSE), "")</f>
        <v/>
      </c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10" t="str">
        <f>IFERROR(VLOOKUP(A28&amp;$AJ$2,#REF!,4,FALSE), "")</f>
        <v/>
      </c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0" t="str">
        <f>IFERROR(VLOOKUP(A29&amp;$AJ$2,#REF!,4,FALSE), "")</f>
        <v/>
      </c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10" t="str">
        <f>IFERROR(VLOOKUP(A30&amp;$AJ$2,#REF!,4,FALSE), "")</f>
        <v/>
      </c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0" t="str">
        <f>IFERROR(VLOOKUP(A31&amp;$AJ$2,#REF!,4,FALSE), "")</f>
        <v/>
      </c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10" t="str">
        <f>IFERROR(VLOOKUP(A32&amp;$AJ$2,#REF!,4,FALSE), "")</f>
        <v/>
      </c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0" t="str">
        <f>IFERROR(VLOOKUP(A33&amp;$AJ$2,#REF!,4,FALSE), "")</f>
        <v/>
      </c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10" t="str">
        <f>IFERROR(VLOOKUP(A34&amp;$AJ$2,#REF!,4,FALSE), "")</f>
        <v/>
      </c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0" t="str">
        <f>IFERROR(VLOOKUP(A35&amp;$AJ$2,#REF!,4,FALSE), "")</f>
        <v/>
      </c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10" t="str">
        <f>IFERROR(VLOOKUP(A36&amp;$AJ$2,#REF!,4,FALSE), "")</f>
        <v/>
      </c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 t="str">
        <f>IFERROR(VLOOKUP(A37&amp;$AJ$2,#REF!,4,FALSE), "")</f>
        <v/>
      </c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 t="str">
        <f>IFERROR(VLOOKUP(A38&amp;$AJ$2,#REF!,4,FALSE), "")</f>
        <v/>
      </c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 t="str">
        <f>IFERROR(VLOOKUP(A39&amp;$AJ$2,#REF!,4,FALSE), "")</f>
        <v/>
      </c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 t="str">
        <f>IFERROR(VLOOKUP(A40&amp;$AJ$2,#REF!,4,FALSE), "")</f>
        <v/>
      </c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 t="str">
        <f>IFERROR(VLOOKUP(A41&amp;$AJ$2,#REF!,4,FALSE), "")</f>
        <v/>
      </c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 t="str">
        <f>IFERROR(VLOOKUP(A42&amp;$AJ$2,#REF!,4,FALSE), "")</f>
        <v/>
      </c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  <c r="C48" s="3" t="s">
        <v>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2:35" ht="14.25" customHeight="1" x14ac:dyDescent="0.35">
      <c r="B49" t="str">
        <f>IFERROR(VLOOKUP(A49&amp;$AJ$2,#REF!,4,FALSE), "")</f>
        <v/>
      </c>
      <c r="C49" s="3" t="s">
        <v>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2:35" ht="14.25" customHeight="1" x14ac:dyDescent="0.35">
      <c r="C50" s="3" t="s">
        <v>43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2:35" ht="14.25" customHeight="1" x14ac:dyDescent="0.35"/>
    <row r="52" spans="2:35" ht="14.25" customHeight="1" x14ac:dyDescent="0.35"/>
    <row r="53" spans="2:35" ht="14.25" customHeight="1" x14ac:dyDescent="0.35"/>
    <row r="54" spans="2:35" ht="14.25" customHeight="1" x14ac:dyDescent="0.35"/>
    <row r="55" spans="2:35" ht="14.25" customHeight="1" x14ac:dyDescent="0.35"/>
    <row r="56" spans="2:35" ht="14.25" customHeight="1" x14ac:dyDescent="0.35"/>
    <row r="57" spans="2:35" ht="14.25" customHeight="1" x14ac:dyDescent="0.35"/>
    <row r="58" spans="2:35" ht="14.25" customHeight="1" x14ac:dyDescent="0.35"/>
    <row r="59" spans="2:35" ht="14.25" customHeight="1" x14ac:dyDescent="0.35"/>
    <row r="60" spans="2:35" ht="14.25" customHeight="1" x14ac:dyDescent="0.35"/>
    <row r="61" spans="2:35" ht="14.25" customHeight="1" x14ac:dyDescent="0.35"/>
    <row r="62" spans="2:35" ht="14.25" customHeight="1" x14ac:dyDescent="0.35"/>
    <row r="63" spans="2:35" ht="14.25" customHeight="1" x14ac:dyDescent="0.35"/>
    <row r="64" spans="2:3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13 D14:AI14 D15:AH46" xr:uid="{00000000-0002-0000-00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98"/>
  <sheetViews>
    <sheetView workbookViewId="0">
      <selection activeCell="B7" sqref="B7:C3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9" width="5" hidden="1" customWidth="1"/>
    <col min="10" max="11" width="5" customWidth="1"/>
    <col min="12" max="16" width="5" hidden="1" customWidth="1"/>
    <col min="17" max="34" width="5" customWidth="1"/>
    <col min="35" max="37" width="8.7265625" customWidth="1"/>
    <col min="38" max="41" width="5.54296875" customWidth="1"/>
  </cols>
  <sheetData>
    <row r="1" spans="1:41" ht="14.25" customHeight="1" x14ac:dyDescent="0.35">
      <c r="A1" s="20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22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58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23" t="s">
        <v>7</v>
      </c>
      <c r="B5" s="25"/>
      <c r="C5" s="26" t="s">
        <v>8</v>
      </c>
      <c r="D5" s="23" t="s">
        <v>9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5"/>
    </row>
    <row r="6" spans="1:41" ht="14.25" customHeight="1" x14ac:dyDescent="0.35">
      <c r="A6" s="6" t="s">
        <v>10</v>
      </c>
      <c r="B6" s="6" t="s">
        <v>11</v>
      </c>
      <c r="C6" s="27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59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8">
        <v>1505</v>
      </c>
      <c r="C7" s="29" t="s">
        <v>60</v>
      </c>
      <c r="D7" s="8" t="s">
        <v>1</v>
      </c>
      <c r="E7" s="8" t="s">
        <v>1</v>
      </c>
      <c r="F7" s="8"/>
      <c r="G7" s="8"/>
      <c r="H7" s="8"/>
      <c r="I7" s="8" t="s">
        <v>1</v>
      </c>
      <c r="J7" s="8" t="s">
        <v>1</v>
      </c>
      <c r="K7" s="8" t="s">
        <v>1</v>
      </c>
      <c r="L7" s="8" t="s">
        <v>1</v>
      </c>
      <c r="M7" s="8"/>
      <c r="N7" s="8"/>
      <c r="O7" s="8"/>
      <c r="P7" s="8" t="s">
        <v>1</v>
      </c>
      <c r="Q7" s="8"/>
      <c r="R7" s="8" t="s">
        <v>1</v>
      </c>
      <c r="S7" s="8" t="s">
        <v>1</v>
      </c>
      <c r="T7" s="8" t="s"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28">
        <v>1506</v>
      </c>
      <c r="C8" s="29" t="s">
        <v>61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28">
        <v>1507</v>
      </c>
      <c r="C9" s="30" t="s">
        <v>62</v>
      </c>
      <c r="D9" s="8"/>
      <c r="E9" s="8"/>
      <c r="F9" s="8"/>
      <c r="G9" s="8"/>
      <c r="H9" s="8"/>
      <c r="I9" s="8"/>
      <c r="J9" s="8"/>
      <c r="K9" s="8"/>
      <c r="L9" s="8" t="s">
        <v>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28">
        <v>1508</v>
      </c>
      <c r="C10" s="31" t="s">
        <v>63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 t="s">
        <v>49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28">
        <v>1509</v>
      </c>
      <c r="C11" s="29" t="s">
        <v>64</v>
      </c>
      <c r="D11" s="8" t="s">
        <v>3</v>
      </c>
      <c r="E11" s="8" t="s">
        <v>3</v>
      </c>
      <c r="F11" s="8"/>
      <c r="G11" s="8"/>
      <c r="H11" s="8"/>
      <c r="I11" s="8" t="s">
        <v>3</v>
      </c>
      <c r="J11" s="8" t="s">
        <v>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8">
        <v>1510</v>
      </c>
      <c r="C12" s="29" t="s">
        <v>65</v>
      </c>
      <c r="D12" s="8"/>
      <c r="E12" s="8" t="s">
        <v>49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8">
        <v>1511</v>
      </c>
      <c r="C13" s="30" t="s">
        <v>66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</v>
      </c>
      <c r="Q13" s="8"/>
      <c r="R13" s="8" t="s">
        <v>1</v>
      </c>
      <c r="S13" s="8" t="s">
        <v>1</v>
      </c>
      <c r="T13" s="8" t="s">
        <v>1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8">
        <v>1512</v>
      </c>
      <c r="C14" s="30" t="s">
        <v>67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8">
        <v>1513</v>
      </c>
      <c r="C15" s="29" t="s">
        <v>68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8">
        <v>1514</v>
      </c>
      <c r="C16" s="30" t="s">
        <v>69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8">
        <v>1515</v>
      </c>
      <c r="C17" s="29" t="s">
        <v>70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8">
        <v>1516</v>
      </c>
      <c r="C18" s="29" t="s">
        <v>71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8">
        <v>1517</v>
      </c>
      <c r="C19" s="30" t="s">
        <v>72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8">
        <v>1518</v>
      </c>
      <c r="C20" s="30" t="s">
        <v>73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8">
        <v>1519</v>
      </c>
      <c r="C21" s="29" t="s">
        <v>74</v>
      </c>
      <c r="D21" s="8"/>
      <c r="E21" s="8"/>
      <c r="F21" s="8"/>
      <c r="G21" s="8"/>
      <c r="H21" s="8"/>
      <c r="I21" s="8"/>
      <c r="J21" s="8"/>
      <c r="K21" s="8"/>
      <c r="L21" s="8" t="s">
        <v>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8">
        <v>1520</v>
      </c>
      <c r="C22" s="30" t="s">
        <v>75</v>
      </c>
      <c r="D22" s="8"/>
      <c r="E22" s="8"/>
      <c r="F22" s="8"/>
      <c r="G22" s="8"/>
      <c r="H22" s="8"/>
      <c r="I22" s="8"/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8">
        <v>1521</v>
      </c>
      <c r="C23" s="29" t="s">
        <v>76</v>
      </c>
      <c r="D23" s="8"/>
      <c r="E23" s="8"/>
      <c r="F23" s="8"/>
      <c r="G23" s="8"/>
      <c r="H23" s="8"/>
      <c r="I23" s="8"/>
      <c r="J23" s="8" t="s">
        <v>3</v>
      </c>
      <c r="K23" s="8"/>
      <c r="L23" s="8"/>
      <c r="M23" s="8"/>
      <c r="N23" s="8"/>
      <c r="O23" s="8"/>
      <c r="P23" s="8" t="s">
        <v>1</v>
      </c>
      <c r="Q23" s="8"/>
      <c r="R23" s="8" t="s">
        <v>1</v>
      </c>
      <c r="S23" s="8" t="s">
        <v>1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8">
        <v>1522</v>
      </c>
      <c r="C24" s="32" t="s">
        <v>77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8">
        <v>1523</v>
      </c>
      <c r="C25" s="29" t="s">
        <v>78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8">
        <v>1524</v>
      </c>
      <c r="C26" s="29" t="s">
        <v>79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8">
        <v>1525</v>
      </c>
      <c r="C27" s="30" t="s">
        <v>80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8">
        <v>1526</v>
      </c>
      <c r="C28" s="29" t="s">
        <v>81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8">
        <v>1527</v>
      </c>
      <c r="C29" s="30" t="s">
        <v>82</v>
      </c>
      <c r="D29" s="8"/>
      <c r="E29" s="8"/>
      <c r="F29" s="8"/>
      <c r="G29" s="8"/>
      <c r="H29" s="8"/>
      <c r="I29" s="8"/>
      <c r="J29" s="8"/>
      <c r="K29" s="8" t="s">
        <v>1</v>
      </c>
      <c r="L29" s="8" t="s">
        <v>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8">
        <v>1528</v>
      </c>
      <c r="C30" s="29" t="s">
        <v>83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8">
        <v>1529</v>
      </c>
      <c r="C31" s="33" t="s">
        <v>84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 t="s">
        <v>1</v>
      </c>
      <c r="Q31" s="8"/>
      <c r="R31" s="8" t="s">
        <v>1</v>
      </c>
      <c r="S31" s="8" t="s">
        <v>1</v>
      </c>
      <c r="T31" s="8" t="s">
        <v>1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8">
        <v>1530</v>
      </c>
      <c r="C32" s="30" t="s">
        <v>85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8">
        <v>1531</v>
      </c>
      <c r="C33" s="29" t="s">
        <v>86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8">
        <v>1532</v>
      </c>
      <c r="C34" s="29" t="s">
        <v>87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8">
        <v>1533</v>
      </c>
      <c r="C35" s="30" t="s">
        <v>88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8">
        <v>1534</v>
      </c>
      <c r="C36" s="30" t="s">
        <v>89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 t="str">
        <f>IFERROR(VLOOKUP(A37&amp;$AJ$2,#REF!,4,FALSE), "")</f>
        <v/>
      </c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 t="str">
        <f>IFERROR(VLOOKUP(A38&amp;$AJ$2,#REF!,4,FALSE), "")</f>
        <v/>
      </c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 t="str">
        <f>IFERROR(VLOOKUP(A39&amp;$AJ$2,#REF!,4,FALSE), "")</f>
        <v/>
      </c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 t="str">
        <f>IFERROR(VLOOKUP(A40&amp;$AJ$2,#REF!,4,FALSE), "")</f>
        <v/>
      </c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 t="str">
        <f>IFERROR(VLOOKUP(A41&amp;$AJ$2,#REF!,4,FALSE), "")</f>
        <v/>
      </c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 t="str">
        <f>IFERROR(VLOOKUP(A42&amp;$AJ$2,#REF!,4,FALSE), "")</f>
        <v/>
      </c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/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E7:AH46" xr:uid="{00000000-0002-0000-0100-000000000000}">
      <formula1>$AK$7:$AK$10</formula1>
    </dataValidation>
    <dataValidation type="list" allowBlank="1" showErrorMessage="1" sqref="D7:D46" xr:uid="{00000000-0002-0000-0100-000001000000}">
      <formula1>$AK$7:$AK$9</formula1>
    </dataValidation>
  </dataValidations>
  <pageMargins left="0.3" right="0.3" top="0.3" bottom="0.3" header="0" footer="0"/>
  <pageSetup paperSize="14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998"/>
  <sheetViews>
    <sheetView workbookViewId="0">
      <selection activeCell="B7" sqref="B7:C42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9" width="5" hidden="1" customWidth="1"/>
    <col min="10" max="10" width="5" customWidth="1"/>
    <col min="11" max="16" width="5" hidden="1" customWidth="1"/>
    <col min="17" max="34" width="5" customWidth="1"/>
    <col min="35" max="37" width="8.7265625" hidden="1" customWidth="1"/>
    <col min="38" max="41" width="5.54296875" customWidth="1"/>
  </cols>
  <sheetData>
    <row r="1" spans="1:41" ht="14.25" customHeight="1" x14ac:dyDescent="0.35">
      <c r="A1" s="20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1"/>
      <c r="R1" s="1"/>
      <c r="S1" s="1">
        <v>0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22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90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23" t="s">
        <v>7</v>
      </c>
      <c r="B5" s="25"/>
      <c r="C5" s="26" t="s">
        <v>8</v>
      </c>
      <c r="D5" s="23" t="s">
        <v>9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5"/>
    </row>
    <row r="6" spans="1:41" ht="14.25" customHeight="1" x14ac:dyDescent="0.35">
      <c r="A6" s="6" t="s">
        <v>10</v>
      </c>
      <c r="B6" s="6" t="s">
        <v>11</v>
      </c>
      <c r="C6" s="27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59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9">
        <v>1439</v>
      </c>
      <c r="C7" s="14" t="s">
        <v>91</v>
      </c>
      <c r="D7" s="8" t="s">
        <v>3</v>
      </c>
      <c r="E7" s="8" t="s">
        <v>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9">
        <v>1441</v>
      </c>
      <c r="C8" s="15" t="s">
        <v>92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9">
        <v>1449</v>
      </c>
      <c r="C9" s="15" t="s">
        <v>93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9">
        <v>1450</v>
      </c>
      <c r="C10" s="16" t="s">
        <v>94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 t="s">
        <v>49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9">
        <v>1459</v>
      </c>
      <c r="C11" s="16" t="s">
        <v>95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9">
        <v>1473</v>
      </c>
      <c r="C12" s="15" t="s">
        <v>96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17">
        <v>1476</v>
      </c>
      <c r="C13" s="16" t="s">
        <v>97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9">
        <v>1477</v>
      </c>
      <c r="C14" s="15" t="s">
        <v>98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17">
        <v>1478</v>
      </c>
      <c r="C15" s="15" t="s">
        <v>99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9">
        <v>1479</v>
      </c>
      <c r="C16" s="15" t="s">
        <v>100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17">
        <v>1480</v>
      </c>
      <c r="C17" s="15" t="s">
        <v>101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9">
        <v>1481</v>
      </c>
      <c r="C18" s="15" t="s">
        <v>102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7">
        <v>1482</v>
      </c>
      <c r="C19" s="15" t="s">
        <v>103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9">
        <v>1483</v>
      </c>
      <c r="C20" s="15" t="s">
        <v>104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7">
        <v>1484</v>
      </c>
      <c r="C21" s="16" t="s">
        <v>105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9">
        <v>1485</v>
      </c>
      <c r="C22" s="16" t="s">
        <v>106</v>
      </c>
      <c r="D22" s="8" t="s">
        <v>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7">
        <v>1486</v>
      </c>
      <c r="C23" s="15" t="s">
        <v>107</v>
      </c>
      <c r="D23" s="8"/>
      <c r="E23" s="8"/>
      <c r="F23" s="8"/>
      <c r="G23" s="8"/>
      <c r="H23" s="8"/>
      <c r="I23" s="8" t="s">
        <v>3</v>
      </c>
      <c r="J23" s="8" t="s">
        <v>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9">
        <v>1487</v>
      </c>
      <c r="C24" s="16" t="s">
        <v>108</v>
      </c>
      <c r="D24" s="8"/>
      <c r="E24" s="8"/>
      <c r="F24" s="8"/>
      <c r="G24" s="8"/>
      <c r="H24" s="8"/>
      <c r="I24" s="8" t="s">
        <v>1</v>
      </c>
      <c r="J24" s="8" t="s">
        <v>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7">
        <v>1488</v>
      </c>
      <c r="C25" s="14" t="s">
        <v>109</v>
      </c>
      <c r="D25" s="8" t="s">
        <v>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9">
        <v>1489</v>
      </c>
      <c r="C26" s="16" t="s">
        <v>110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7">
        <v>1490</v>
      </c>
      <c r="C27" s="16" t="s">
        <v>111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9">
        <v>1491</v>
      </c>
      <c r="C28" s="15" t="s">
        <v>112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7">
        <v>1492</v>
      </c>
      <c r="C29" s="15" t="s">
        <v>113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9">
        <v>1493</v>
      </c>
      <c r="C30" s="15" t="s">
        <v>114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7">
        <v>1494</v>
      </c>
      <c r="C31" s="16" t="s">
        <v>115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9">
        <v>1495</v>
      </c>
      <c r="C32" s="16" t="s">
        <v>116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7">
        <v>1496</v>
      </c>
      <c r="C33" s="15" t="s">
        <v>117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9">
        <v>1497</v>
      </c>
      <c r="C34" s="16" t="s">
        <v>118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7">
        <v>1498</v>
      </c>
      <c r="C35" s="14" t="s">
        <v>119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9">
        <v>1499</v>
      </c>
      <c r="C36" s="16" t="s">
        <v>120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7">
        <v>1500</v>
      </c>
      <c r="C37" s="16" t="s">
        <v>121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9">
        <v>1501</v>
      </c>
      <c r="C38" s="16" t="s">
        <v>122</v>
      </c>
      <c r="D38" s="8"/>
      <c r="E38" s="8"/>
      <c r="F38" s="8"/>
      <c r="G38" s="8"/>
      <c r="H38" s="8"/>
      <c r="I38" s="8" t="s">
        <v>1</v>
      </c>
      <c r="J38" s="8" t="s">
        <v>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7">
        <v>1502</v>
      </c>
      <c r="C39" s="15" t="s">
        <v>123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9">
        <v>1503</v>
      </c>
      <c r="C40" s="18" t="s">
        <v>124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7">
        <v>1504</v>
      </c>
      <c r="C41" s="14" t="s">
        <v>125</v>
      </c>
      <c r="D41" s="8"/>
      <c r="E41" s="8" t="s">
        <v>3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9">
        <v>1535</v>
      </c>
      <c r="C42" s="16" t="s">
        <v>126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C43" s="3" t="s">
        <v>127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>
      <c r="Q55" t="s">
        <v>1</v>
      </c>
      <c r="R55" t="s">
        <v>1</v>
      </c>
      <c r="S55" t="s">
        <v>1</v>
      </c>
    </row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2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998"/>
  <sheetViews>
    <sheetView tabSelected="1" workbookViewId="0">
      <selection activeCell="B7" sqref="B7:C42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6" width="5" hidden="1" customWidth="1"/>
    <col min="17" max="34" width="5" customWidth="1"/>
    <col min="35" max="37" width="8.7265625" customWidth="1"/>
    <col min="38" max="41" width="5.54296875" customWidth="1"/>
  </cols>
  <sheetData>
    <row r="1" spans="1:41" ht="14.25" customHeight="1" x14ac:dyDescent="0.35">
      <c r="A1" s="20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1"/>
      <c r="R1" s="1"/>
      <c r="S1" s="1"/>
      <c r="T1" s="1"/>
      <c r="U1" s="1">
        <v>0</v>
      </c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22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128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23" t="s">
        <v>7</v>
      </c>
      <c r="B5" s="25"/>
      <c r="C5" s="26" t="s">
        <v>8</v>
      </c>
      <c r="D5" s="23" t="s">
        <v>9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5"/>
    </row>
    <row r="6" spans="1:41" ht="14.25" customHeight="1" x14ac:dyDescent="0.35">
      <c r="A6" s="6" t="s">
        <v>10</v>
      </c>
      <c r="B6" s="6" t="s">
        <v>11</v>
      </c>
      <c r="C6" s="27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36">
        <v>1386</v>
      </c>
      <c r="C7" s="37" t="s">
        <v>129</v>
      </c>
      <c r="D7" s="8"/>
      <c r="E7" s="8"/>
      <c r="F7" s="8"/>
      <c r="G7" s="8"/>
      <c r="H7" s="8"/>
      <c r="I7" s="8"/>
      <c r="J7" s="8" t="s">
        <v>3</v>
      </c>
      <c r="K7" s="8"/>
      <c r="L7" s="8"/>
      <c r="M7" s="8"/>
      <c r="N7" s="8"/>
      <c r="O7" s="8"/>
      <c r="P7" s="8"/>
      <c r="Q7" s="8"/>
      <c r="R7" s="19"/>
      <c r="S7" s="8" t="s">
        <v>1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 t="s">
        <v>1</v>
      </c>
      <c r="AL7" s="8"/>
      <c r="AM7" s="8"/>
      <c r="AN7" s="8"/>
      <c r="AO7" s="8"/>
    </row>
    <row r="8" spans="1:41" ht="12" customHeight="1" x14ac:dyDescent="0.35">
      <c r="A8" s="9">
        <v>2</v>
      </c>
      <c r="B8" s="36">
        <v>1428</v>
      </c>
      <c r="C8" s="38" t="s">
        <v>130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 t="s">
        <v>3</v>
      </c>
      <c r="AL8" s="8"/>
      <c r="AM8" s="8"/>
      <c r="AN8" s="8"/>
      <c r="AO8" s="8"/>
    </row>
    <row r="9" spans="1:41" ht="12" customHeight="1" x14ac:dyDescent="0.35">
      <c r="A9" s="9">
        <v>3</v>
      </c>
      <c r="B9" s="36">
        <v>1429</v>
      </c>
      <c r="C9" s="39" t="s">
        <v>131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 t="s">
        <v>43</v>
      </c>
      <c r="AL9" s="8"/>
      <c r="AM9" s="8"/>
      <c r="AN9" s="8"/>
      <c r="AO9" s="8"/>
    </row>
    <row r="10" spans="1:41" ht="12" customHeight="1" x14ac:dyDescent="0.35">
      <c r="A10" s="9">
        <v>4</v>
      </c>
      <c r="B10" s="36">
        <v>1430</v>
      </c>
      <c r="C10" s="40" t="s">
        <v>132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1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 t="s">
        <v>49</v>
      </c>
      <c r="AL10" s="8"/>
      <c r="AM10" s="8"/>
      <c r="AN10" s="8"/>
      <c r="AO10" s="8"/>
    </row>
    <row r="11" spans="1:41" ht="12" customHeight="1" x14ac:dyDescent="0.35">
      <c r="A11" s="9">
        <v>5</v>
      </c>
      <c r="B11" s="36">
        <v>1432</v>
      </c>
      <c r="C11" s="39" t="s">
        <v>133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36">
        <v>1433</v>
      </c>
      <c r="C12" s="37" t="s">
        <v>134</v>
      </c>
      <c r="D12" s="8"/>
      <c r="E12" s="8"/>
      <c r="F12" s="8"/>
      <c r="G12" s="8"/>
      <c r="H12" s="8"/>
      <c r="I12" s="8" t="s">
        <v>1</v>
      </c>
      <c r="J12" s="8"/>
      <c r="K12" s="8" t="s">
        <v>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36">
        <v>1435</v>
      </c>
      <c r="C13" s="39" t="s">
        <v>135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36">
        <v>1436</v>
      </c>
      <c r="C14" s="37" t="s">
        <v>136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36">
        <v>1437</v>
      </c>
      <c r="C15" s="39" t="s">
        <v>137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36">
        <v>1438</v>
      </c>
      <c r="C16" s="39" t="s">
        <v>138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36">
        <v>1440</v>
      </c>
      <c r="C17" s="37" t="s">
        <v>139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36">
        <v>1442</v>
      </c>
      <c r="C18" s="39" t="s">
        <v>140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36">
        <v>1443</v>
      </c>
      <c r="C19" s="37" t="s">
        <v>141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36">
        <v>1444</v>
      </c>
      <c r="C20" s="39" t="s">
        <v>142</v>
      </c>
      <c r="D20" s="8" t="s">
        <v>1</v>
      </c>
      <c r="E20" s="8" t="s">
        <v>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33">
        <v>1445</v>
      </c>
      <c r="C21" s="32" t="s">
        <v>143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36">
        <v>1446</v>
      </c>
      <c r="C22" s="41" t="s">
        <v>144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 t="s">
        <v>1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36">
        <v>1447</v>
      </c>
      <c r="C23" s="37" t="s">
        <v>145</v>
      </c>
      <c r="D23" s="8"/>
      <c r="E23" s="8"/>
      <c r="F23" s="8"/>
      <c r="G23" s="8"/>
      <c r="H23" s="8"/>
      <c r="I23" s="8"/>
      <c r="J23" s="8"/>
      <c r="K23" s="8"/>
      <c r="L23" s="8" t="s">
        <v>1</v>
      </c>
      <c r="M23" s="8"/>
      <c r="N23" s="8"/>
      <c r="O23" s="8"/>
      <c r="P23" s="8" t="s">
        <v>1</v>
      </c>
      <c r="Q23" s="8"/>
      <c r="R23" s="8" t="s">
        <v>1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36">
        <v>1448</v>
      </c>
      <c r="C24" s="37" t="s">
        <v>146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36">
        <v>1451</v>
      </c>
      <c r="C25" s="37" t="s">
        <v>147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36">
        <v>1452</v>
      </c>
      <c r="C26" s="39" t="s">
        <v>148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36">
        <v>1453</v>
      </c>
      <c r="C27" s="37" t="s">
        <v>149</v>
      </c>
      <c r="D27" s="8"/>
      <c r="E27" s="8"/>
      <c r="F27" s="8"/>
      <c r="G27" s="8"/>
      <c r="H27" s="8"/>
      <c r="I27" s="8"/>
      <c r="J27" s="8"/>
      <c r="K27" s="8"/>
      <c r="L27" s="8" t="s">
        <v>1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36">
        <v>1454</v>
      </c>
      <c r="C28" s="37" t="s">
        <v>150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 t="s">
        <v>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36">
        <v>1455</v>
      </c>
      <c r="C29" s="37" t="s">
        <v>151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36">
        <v>1456</v>
      </c>
      <c r="C30" s="39" t="s">
        <v>152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36">
        <v>1457</v>
      </c>
      <c r="C31" s="37" t="s">
        <v>153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 t="s">
        <v>1</v>
      </c>
      <c r="T31" s="8" t="s">
        <v>1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36">
        <v>1458</v>
      </c>
      <c r="C32" s="37" t="s">
        <v>154</v>
      </c>
      <c r="D32" s="8" t="s">
        <v>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36">
        <v>1461</v>
      </c>
      <c r="C33" s="42" t="s">
        <v>155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36">
        <v>1462</v>
      </c>
      <c r="C34" s="37" t="s">
        <v>156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s">
        <v>1</v>
      </c>
      <c r="S34" s="8" t="s">
        <v>1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36">
        <v>1463</v>
      </c>
      <c r="C35" s="37" t="s">
        <v>157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36">
        <v>1465</v>
      </c>
      <c r="C36" s="37" t="s">
        <v>158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36">
        <v>1466</v>
      </c>
      <c r="C37" s="37" t="s">
        <v>159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 t="s">
        <v>1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36">
        <v>1468</v>
      </c>
      <c r="C38" s="37" t="s">
        <v>160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 t="s">
        <v>1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36">
        <v>1470</v>
      </c>
      <c r="C39" s="39" t="s">
        <v>161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36">
        <v>1471</v>
      </c>
      <c r="C40" s="39" t="s">
        <v>162</v>
      </c>
      <c r="D40" s="8" t="s">
        <v>3</v>
      </c>
      <c r="E40" s="8" t="s">
        <v>43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 t="s">
        <v>1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36">
        <v>1472</v>
      </c>
      <c r="C41" s="37" t="s">
        <v>163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36">
        <v>1475</v>
      </c>
      <c r="C42" s="37" t="s">
        <v>164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 t="str">
        <f>IFERROR(VLOOKUP(A43&amp;$AJ$2,#REF!,4,FALSE), "")</f>
        <v/>
      </c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 t="str">
        <f>IFERROR(VLOOKUP(A44&amp;$AJ$2,#REF!,4,FALSE), "")</f>
        <v/>
      </c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 t="str">
        <f>IFERROR(VLOOKUP(A45&amp;$AJ$2,#REF!,4,FALSE), "")</f>
        <v/>
      </c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 t="str">
        <f>IFERROR(VLOOKUP(A46&amp;$AJ$2,#REF!,4,FALSE), "")</f>
        <v/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>
      <c r="B47" t="str">
        <f>IFERROR(VLOOKUP(A47&amp;$AJ$2,#REF!,4,FALSE), "")</f>
        <v/>
      </c>
    </row>
    <row r="48" spans="1:41" ht="14.25" customHeight="1" x14ac:dyDescent="0.35">
      <c r="B48" t="str">
        <f>IFERROR(VLOOKUP(A48&amp;$AJ$2,#REF!,4,FALSE), "")</f>
        <v/>
      </c>
    </row>
    <row r="49" spans="2:34" ht="14.25" customHeight="1" x14ac:dyDescent="0.35">
      <c r="B49" t="str">
        <f>IFERROR(VLOOKUP(A49&amp;$AJ$2,#REF!,4,FALSE), "")</f>
        <v/>
      </c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2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ht="14.25" customHeight="1" x14ac:dyDescent="0.35"/>
    <row r="53" spans="2:34" ht="14.25" customHeight="1" x14ac:dyDescent="0.35"/>
    <row r="54" spans="2:34" ht="14.25" customHeight="1" x14ac:dyDescent="0.35"/>
    <row r="55" spans="2:34" ht="14.25" customHeight="1" x14ac:dyDescent="0.35"/>
    <row r="56" spans="2:34" ht="14.25" customHeight="1" x14ac:dyDescent="0.35"/>
    <row r="57" spans="2:34" ht="14.25" customHeight="1" x14ac:dyDescent="0.35"/>
    <row r="58" spans="2:34" ht="14.25" customHeight="1" x14ac:dyDescent="0.35"/>
    <row r="59" spans="2:34" ht="14.25" customHeight="1" x14ac:dyDescent="0.35"/>
    <row r="60" spans="2:34" ht="14.25" customHeight="1" x14ac:dyDescent="0.35"/>
    <row r="61" spans="2:34" ht="14.25" customHeight="1" x14ac:dyDescent="0.35"/>
    <row r="62" spans="2:34" ht="14.25" customHeight="1" x14ac:dyDescent="0.35"/>
    <row r="63" spans="2:34" ht="14.25" customHeight="1" x14ac:dyDescent="0.35"/>
    <row r="64" spans="2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3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Absen PG</vt:lpstr>
      <vt:lpstr>TKa</vt:lpstr>
      <vt:lpstr>TKB1</vt:lpstr>
      <vt:lpstr>TKB(2)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</dc:creator>
  <cp:lastModifiedBy>yonatan kwee</cp:lastModifiedBy>
  <dcterms:created xsi:type="dcterms:W3CDTF">2025-08-30T01:54:57Z</dcterms:created>
  <dcterms:modified xsi:type="dcterms:W3CDTF">2026-04-17T04:02:23Z</dcterms:modified>
</cp:coreProperties>
</file>