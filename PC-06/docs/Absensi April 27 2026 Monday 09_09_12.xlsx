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memory\PC-06\docs\"/>
    </mc:Choice>
  </mc:AlternateContent>
  <xr:revisionPtr revIDLastSave="0" documentId="13_ncr:1_{C357E840-55F1-4B9C-8692-B22FF0157AF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9" i="4" l="1"/>
  <c r="B48" i="4"/>
  <c r="B47" i="4"/>
  <c r="B46" i="4"/>
  <c r="B45" i="4"/>
  <c r="B44" i="4"/>
  <c r="B43" i="4"/>
  <c r="B49" i="3"/>
  <c r="B48" i="3"/>
  <c r="B47" i="3"/>
  <c r="B46" i="3"/>
  <c r="B45" i="3"/>
  <c r="B44" i="3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<sst xmlns="http://schemas.openxmlformats.org/spreadsheetml/2006/main" count="473" uniqueCount="177">
  <si>
    <t xml:space="preserve">               TK SWASTA METHODIST-11</t>
  </si>
  <si>
    <t>S</t>
  </si>
  <si>
    <t xml:space="preserve">               DAFTAR NAMA MURID T.P. 2025/2026</t>
  </si>
  <si>
    <t>I</t>
  </si>
  <si>
    <t>PG</t>
  </si>
  <si>
    <t>Kelas</t>
  </si>
  <si>
    <t>Walikelas</t>
  </si>
  <si>
    <t>Nomor</t>
  </si>
  <si>
    <t>Nama</t>
  </si>
  <si>
    <t>April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</si>
  <si>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</si>
  <si>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</si>
  <si>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</si>
  <si>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</si>
  <si>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</si>
  <si>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</si>
  <si>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</si>
  <si>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</si>
  <si>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</si>
  <si>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</si>
  <si>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</si>
  <si>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</si>
  <si>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</si>
  <si>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</si>
  <si>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</si>
  <si>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</si>
  <si>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</si>
  <si>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</si>
  <si>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</si>
  <si>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</si>
  <si>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</si>
  <si>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</si>
  <si>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</si>
  <si>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</si>
  <si>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</si>
  <si>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</si>
  <si>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</si>
  <si>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</si>
  <si>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</si>
  <si>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</si>
  <si>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</si>
  <si>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</si>
  <si>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</si>
  <si>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</si>
  <si>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</si>
  <si>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0221</t>
  </si>
  <si>
    <t>Edbert Reynaldo Lim</t>
  </si>
  <si>
    <t>0228</t>
  </si>
  <si>
    <t>Axelle Tiandra Ong</t>
  </si>
  <si>
    <t>0229</t>
  </si>
  <si>
    <t>Carencya Chailinskie</t>
  </si>
  <si>
    <t>0230</t>
  </si>
  <si>
    <t xml:space="preserve">Evano Ryu Tanzil </t>
  </si>
  <si>
    <t>.</t>
  </si>
  <si>
    <t>0231</t>
  </si>
  <si>
    <t>Gareth Grealish Dharmawan</t>
  </si>
  <si>
    <t>0232</t>
  </si>
  <si>
    <t>Joverick Walton</t>
  </si>
  <si>
    <t>0233</t>
  </si>
  <si>
    <t>Kaylyn Gavril Winlie</t>
  </si>
  <si>
    <t>0234</t>
  </si>
  <si>
    <t>Rachel Crystaline Benyamin</t>
  </si>
  <si>
    <t>0235</t>
  </si>
  <si>
    <t>Rachel Veisya Chan</t>
  </si>
  <si>
    <t>0236</t>
  </si>
  <si>
    <t>Rachellyn Gracia Chindra</t>
  </si>
  <si>
    <t>0237</t>
  </si>
  <si>
    <t>Roderick Yang</t>
  </si>
  <si>
    <t>Elvano Leonardi</t>
  </si>
  <si>
    <t>TKA</t>
  </si>
  <si>
    <t>M</t>
  </si>
  <si>
    <t>Aldrich Bona Munson Nababan</t>
  </si>
  <si>
    <t>Azka Andreas</t>
  </si>
  <si>
    <t>Celine Grace Zhang</t>
  </si>
  <si>
    <t>Clarence Queenicca Zhang</t>
  </si>
  <si>
    <t>Clarissa Jovanka Sugiharto</t>
  </si>
  <si>
    <t>Clarissa Lim</t>
  </si>
  <si>
    <t>Clarita Olivia Sinaga</t>
  </si>
  <si>
    <t>Coryn Aurora Zhan</t>
  </si>
  <si>
    <t>Darren Elvano</t>
  </si>
  <si>
    <t>Darren Tristan</t>
  </si>
  <si>
    <t>Davian Kenrick Lu</t>
  </si>
  <si>
    <t>Devan Ivander Siahaan</t>
  </si>
  <si>
    <t>Elsa Harianja</t>
  </si>
  <si>
    <t>Ferencia Lu</t>
  </si>
  <si>
    <t>Jemia Zhevano Yamresa Kembaren</t>
  </si>
  <si>
    <t>Jocelyn Marcella Su</t>
  </si>
  <si>
    <t>Joevanca Chesa Athalia</t>
  </si>
  <si>
    <t>Kayla Hosanna Charissa Sihombing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</si>
  <si>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</si>
  <si>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</si>
  <si>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</si>
  <si>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</si>
  <si>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</si>
  <si>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</si>
  <si>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Richelcia Wijaya</t>
  </si>
  <si>
    <t>Ricson Valenthino</t>
  </si>
  <si>
    <t>Rui Reynara Shen</t>
  </si>
  <si>
    <t>Shane Michael Lienardie</t>
  </si>
  <si>
    <t>Shelomitha Eliora Simanjuntak</t>
  </si>
  <si>
    <t>Willian Geoffrey Utama</t>
  </si>
  <si>
    <t>TKB1</t>
  </si>
  <si>
    <t>Kyla Nathania Chang</t>
  </si>
  <si>
    <t>Muhammad Raffasya Aditya</t>
  </si>
  <si>
    <t>Valerie Tohvinsky</t>
  </si>
  <si>
    <t>Vincent Andreanus</t>
  </si>
  <si>
    <t>Edmond Axelle Chan</t>
  </si>
  <si>
    <t>Raileen Valerie Hugo</t>
  </si>
  <si>
    <t>Abraham Katikana Ginting</t>
  </si>
  <si>
    <t>Adelia Manuella Br. Butar-butar</t>
  </si>
  <si>
    <t>Arnold Johannes Lutan</t>
  </si>
  <si>
    <t>Bhaskara Salomo Siregar</t>
  </si>
  <si>
    <t>Darren Almero Chen</t>
  </si>
  <si>
    <t>Darren Hasiholan Nahulae</t>
  </si>
  <si>
    <t>Effendi</t>
  </si>
  <si>
    <t>Geonathan Samudra Simamora</t>
  </si>
  <si>
    <t>Gestalt Jesen Edellio Manurung</t>
  </si>
  <si>
    <t>Grace Felicia Simbolon</t>
  </si>
  <si>
    <t>Janeeta Elora Silaban</t>
  </si>
  <si>
    <t>Jayden Febrian Chai</t>
  </si>
  <si>
    <t>Jocelin Samosir</t>
  </si>
  <si>
    <t>Kartika Joceline Simanjuntak</t>
  </si>
  <si>
    <t>Larasaty Pramidita Sihite</t>
  </si>
  <si>
    <t>Michelle Angela Tan</t>
  </si>
  <si>
    <t>Mikhael Glorius Simbolon</t>
  </si>
  <si>
    <t>Naraya Elsandri Br. Sembiring</t>
  </si>
  <si>
    <t>s</t>
  </si>
  <si>
    <t>Reinier Jackson Yaputra</t>
  </si>
  <si>
    <t>Rweno Richie</t>
  </si>
  <si>
    <t>Sagiv Levinskie Nainggolan</t>
  </si>
  <si>
    <t>Sean Milan Saragih</t>
  </si>
  <si>
    <t>Sheera Leticia Nainggolan</t>
  </si>
  <si>
    <t>Sheryn Florencia Nainggolan</t>
  </si>
  <si>
    <t>Trini Arindy Br. Pasaribu</t>
  </si>
  <si>
    <t>Valencia Tjuatja</t>
  </si>
  <si>
    <t>Vallerie Laurist</t>
  </si>
  <si>
    <t>Vionetta Brylie Siregar</t>
  </si>
  <si>
    <t>Wilson Nicholas Lim</t>
  </si>
  <si>
    <t>Gabe Cristiano Gultom</t>
  </si>
  <si>
    <t>helena</t>
  </si>
  <si>
    <t>TKB2</t>
  </si>
  <si>
    <t>Chelsea Valerie</t>
  </si>
  <si>
    <t>Adrellia Tessya Samantha Sianturi</t>
  </si>
  <si>
    <t>Arfan Ginting</t>
  </si>
  <si>
    <t>Brienne Nathania Carolyne Pakpahan</t>
  </si>
  <si>
    <t>Chester Tankino</t>
  </si>
  <si>
    <t>Cristine Dharani</t>
  </si>
  <si>
    <t>Gavinta Elon Siregar</t>
  </si>
  <si>
    <t>Gavrila Maranatha Maris Panjaitan</t>
  </si>
  <si>
    <t>Given Ryshaka Simbolon</t>
  </si>
  <si>
    <t>Joachim Yang</t>
  </si>
  <si>
    <t>Michelle Kimberly Gui</t>
  </si>
  <si>
    <t>Pangeran Hagro Haloho</t>
  </si>
  <si>
    <t>Pedro Karvinta Sembiring</t>
  </si>
  <si>
    <t>Richa Dwily</t>
  </si>
  <si>
    <t>Robyn Imanuel Louis</t>
  </si>
  <si>
    <t>Shayna Amoureyza Sitepu</t>
  </si>
  <si>
    <t>Stevia Chrisela Chai</t>
  </si>
  <si>
    <t>Theo Rafa Pakpahan</t>
  </si>
  <si>
    <t>Vinnie Gea Halim</t>
  </si>
  <si>
    <t>Abercio Kiano Drake</t>
  </si>
  <si>
    <t>Aleysia Callista Br Ompusunggu</t>
  </si>
  <si>
    <t>Alvaro Gavriel Karo Karo</t>
  </si>
  <si>
    <t>Bryan Maxwell Angkasa</t>
  </si>
  <si>
    <t>Christine Laotan</t>
  </si>
  <si>
    <t>Claudia Zetta Br Tarigan</t>
  </si>
  <si>
    <t>Daven Gavriel Winlie</t>
  </si>
  <si>
    <t>Felix Louis</t>
  </si>
  <si>
    <t>Glerine Richya Tumanggor</t>
  </si>
  <si>
    <t>Grace Nataly</t>
  </si>
  <si>
    <t>Greysia Dhita Panggabean</t>
  </si>
  <si>
    <t>Jasmine Valerie Yap</t>
  </si>
  <si>
    <t>Kenstein Elton Lim</t>
  </si>
  <si>
    <t>Kenzo Kiano</t>
  </si>
  <si>
    <t>Marquez Boas Aritonang</t>
  </si>
  <si>
    <t>Peter Djuandi</t>
  </si>
  <si>
    <t>Hiromi Sheena Silalahi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</si>
</sst>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workbookViewId="0">
      <selection activeCell="V1" sqref="V1:V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6" width="5" hidden="1" customWidth="1"/>
    <col min="17" max="21" width="5" customWidth="1"/>
    <col min="22" max="22" width="5" hidden="1" customWidth="1"/>
    <col min="23" max="34" width="5" customWidth="1"/>
    <col min="35" max="37" width="8.7265625" hidden="1" customWidth="1"/>
    <col min="38" max="41" width="5.54296875" customWidth="1"/>
  </cols>
  <sheetData>
    <row r="1" spans="1:41" ht="14.2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 t="s">
        <v>45</v>
      </c>
      <c r="C7" s="24" t="s">
        <v>46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 t="s">
        <v>1</v>
      </c>
      <c r="Y7" s="8" t="s">
        <v>1</v>
      </c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0" t="s">
        <v>47</v>
      </c>
      <c r="C8" s="26" t="s">
        <v>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0" t="s">
        <v>49</v>
      </c>
      <c r="C9" s="26" t="s">
        <v>50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0" t="s">
        <v>51</v>
      </c>
      <c r="C10" s="27" t="s">
        <v>52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0" t="s">
        <v>54</v>
      </c>
      <c r="C11" s="27" t="s">
        <v>55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 t="s">
        <v>56</v>
      </c>
      <c r="C12" s="25" t="s">
        <v>57</v>
      </c>
      <c r="D12" s="8" t="s">
        <v>1</v>
      </c>
      <c r="E12" s="8" t="s">
        <v>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3</v>
      </c>
      <c r="Y12" s="8"/>
      <c r="Z12" s="8"/>
      <c r="AA12" s="8"/>
      <c r="AB12" s="8" t="s">
        <v>3</v>
      </c>
      <c r="AC12" s="8"/>
      <c r="AD12" s="8" t="s">
        <v>3</v>
      </c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 t="s">
        <v>58</v>
      </c>
      <c r="C13" s="27" t="s">
        <v>59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</v>
      </c>
      <c r="Q13" s="8"/>
      <c r="R13" s="8" t="s">
        <v>1</v>
      </c>
      <c r="S13" s="8"/>
      <c r="T13" s="8" t="s">
        <v>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 t="s">
        <v>60</v>
      </c>
      <c r="C14" s="27" t="s">
        <v>61</v>
      </c>
      <c r="D14" s="8" t="s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 t="s">
        <v>62</v>
      </c>
      <c r="C15" s="27" t="s">
        <v>63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 t="s">
        <v>64</v>
      </c>
      <c r="C16" s="27" t="s">
        <v>65</v>
      </c>
      <c r="D16" s="8"/>
      <c r="E16" s="8"/>
      <c r="F16" s="8"/>
      <c r="G16" s="8"/>
      <c r="H16" s="8"/>
      <c r="I16" s="8"/>
      <c r="J16" s="8"/>
      <c r="K16" s="8" t="s">
        <v>53</v>
      </c>
      <c r="L16" s="8" t="s">
        <v>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 t="s">
        <v>66</v>
      </c>
      <c r="C17" s="26" t="s">
        <v>67</v>
      </c>
      <c r="D17" s="8"/>
      <c r="E17" s="8"/>
      <c r="F17" s="8"/>
      <c r="G17" s="8"/>
      <c r="H17" s="8"/>
      <c r="I17" s="8" t="s">
        <v>1</v>
      </c>
      <c r="J17" s="8" t="s">
        <v>1</v>
      </c>
      <c r="K17" s="8" t="s">
        <v>1</v>
      </c>
      <c r="L17" s="8" t="s">
        <v>1</v>
      </c>
      <c r="M17" s="8"/>
      <c r="N17" s="8"/>
      <c r="O17" s="8"/>
      <c r="P17" s="8" t="s">
        <v>1</v>
      </c>
      <c r="Q17" s="8"/>
      <c r="R17" s="8" t="s">
        <v>1</v>
      </c>
      <c r="S17" s="8" t="s">
        <v>1</v>
      </c>
      <c r="T17" s="8"/>
      <c r="U17" s="8" t="s">
        <v>3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7" t="s">
        <v>68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0" t="str">
        <f>IFERROR(VLOOKUP(A19&amp;$AJ$2,#REF!,4,FALSE), "")</f>
        <v/>
      </c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10" t="str">
        <f>IFERROR(VLOOKUP(A20&amp;$AJ$2,#REF!,4,FALSE), "")</f>
        <v/>
      </c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0" t="str">
        <f>IFERROR(VLOOKUP(A21&amp;$AJ$2,#REF!,4,FALSE), "")</f>
        <v/>
      </c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10" t="str">
        <f>IFERROR(VLOOKUP(A22&amp;$AJ$2,#REF!,4,FALSE), "")</f>
        <v/>
      </c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0" t="str">
        <f>IFERROR(VLOOKUP(A23&amp;$AJ$2,#REF!,4,FALSE), "")</f>
        <v/>
      </c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10" t="str">
        <f>IFERROR(VLOOKUP(A24&amp;$AJ$2,#REF!,4,FALSE), "")</f>
        <v/>
      </c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0" t="str">
        <f>IFERROR(VLOOKUP(A25&amp;$AJ$2,#REF!,4,FALSE), "")</f>
        <v/>
      </c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10" t="str">
        <f>IFERROR(VLOOKUP(A26&amp;$AJ$2,#REF!,4,FALSE), "")</f>
        <v/>
      </c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0" t="str">
        <f>IFERROR(VLOOKUP(A27&amp;$AJ$2,#REF!,4,FALSE), "")</f>
        <v/>
      </c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10" t="str">
        <f>IFERROR(VLOOKUP(A28&amp;$AJ$2,#REF!,4,FALSE), "")</f>
        <v/>
      </c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0" t="str">
        <f>IFERROR(VLOOKUP(A29&amp;$AJ$2,#REF!,4,FALSE), "")</f>
        <v/>
      </c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10" t="str">
        <f>IFERROR(VLOOKUP(A30&amp;$AJ$2,#REF!,4,FALSE), "")</f>
        <v/>
      </c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0" t="str">
        <f>IFERROR(VLOOKUP(A31&amp;$AJ$2,#REF!,4,FALSE), "")</f>
        <v/>
      </c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10" t="str">
        <f>IFERROR(VLOOKUP(A32&amp;$AJ$2,#REF!,4,FALSE), "")</f>
        <v/>
      </c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0" t="str">
        <f>IFERROR(VLOOKUP(A33&amp;$AJ$2,#REF!,4,FALSE), "")</f>
        <v/>
      </c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10" t="str">
        <f>IFERROR(VLOOKUP(A34&amp;$AJ$2,#REF!,4,FALSE), "")</f>
        <v/>
      </c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0" t="str">
        <f>IFERROR(VLOOKUP(A35&amp;$AJ$2,#REF!,4,FALSE), "")</f>
        <v/>
      </c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10" t="str">
        <f>IFERROR(VLOOKUP(A36&amp;$AJ$2,#REF!,4,FALSE), "")</f>
        <v/>
      </c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  <c r="C48" s="3" t="s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2:35" ht="14.25" customHeight="1" x14ac:dyDescent="0.35">
      <c r="B49" t="str">
        <f>IFERROR(VLOOKUP(A49&amp;$AJ$2,#REF!,4,FALSE), "")</f>
        <v/>
      </c>
      <c r="C49" s="3" t="s">
        <v>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2:35" ht="14.25" customHeight="1" x14ac:dyDescent="0.35">
      <c r="C50" s="3" t="s">
        <v>43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2:35" ht="14.25" customHeight="1" x14ac:dyDescent="0.35"/>
    <row r="52" spans="2:35" ht="14.25" customHeight="1" x14ac:dyDescent="0.35"/>
    <row r="53" spans="2:35" ht="14.25" customHeight="1" x14ac:dyDescent="0.35"/>
    <row r="54" spans="2:35" ht="14.25" customHeight="1" x14ac:dyDescent="0.35"/>
    <row r="55" spans="2:35" ht="14.25" customHeight="1" x14ac:dyDescent="0.35"/>
    <row r="56" spans="2:35" ht="14.25" customHeight="1" x14ac:dyDescent="0.35"/>
    <row r="57" spans="2:35" ht="14.25" customHeight="1" x14ac:dyDescent="0.35"/>
    <row r="58" spans="2:35" ht="14.25" customHeight="1" x14ac:dyDescent="0.35"/>
    <row r="59" spans="2:35" ht="14.25" customHeight="1" x14ac:dyDescent="0.35"/>
    <row r="60" spans="2:35" ht="14.25" customHeight="1" x14ac:dyDescent="0.35"/>
    <row r="61" spans="2:35" ht="14.25" customHeight="1" x14ac:dyDescent="0.35"/>
    <row r="62" spans="2:35" ht="14.25" customHeight="1" x14ac:dyDescent="0.35"/>
    <row r="63" spans="2:35" ht="14.25" customHeight="1" x14ac:dyDescent="0.35"/>
    <row r="64" spans="2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13 D14:AI14 D15:AH46" xr:uid="{00000000-0002-0000-00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8"/>
  <sheetViews>
    <sheetView tabSelected="1" zoomScale="70" zoomScaleNormal="70" workbookViewId="0">
      <selection activeCell="AJ14" sqref="AJ14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34" width="4.1796875" customWidth="1"/>
    <col min="35" max="37" width="8.7265625" customWidth="1"/>
    <col min="38" max="41" width="5.54296875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69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70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>
        <v>1505</v>
      </c>
      <c r="C7" s="21" t="s">
        <v>71</v>
      </c>
      <c r="D7" s="8" t="s">
        <v>1</v>
      </c>
      <c r="E7" s="8" t="s">
        <v>1</v>
      </c>
      <c r="F7" s="8"/>
      <c r="G7" s="8"/>
      <c r="H7" s="8"/>
      <c r="I7" s="8" t="s">
        <v>1</v>
      </c>
      <c r="J7" s="8" t="s">
        <v>1</v>
      </c>
      <c r="K7" s="8" t="s">
        <v>1</v>
      </c>
      <c r="L7" s="8" t="s">
        <v>1</v>
      </c>
      <c r="M7" s="8"/>
      <c r="N7" s="8"/>
      <c r="O7" s="8"/>
      <c r="P7" s="8" t="s">
        <v>1</v>
      </c>
      <c r="Q7" s="8"/>
      <c r="R7" s="8" t="s">
        <v>1</v>
      </c>
      <c r="S7" s="8" t="s">
        <v>1</v>
      </c>
      <c r="T7" s="8" t="s">
        <v>1</v>
      </c>
      <c r="U7" s="8" t="s">
        <v>1</v>
      </c>
      <c r="V7" s="8"/>
      <c r="W7" s="8" t="s">
        <v>1</v>
      </c>
      <c r="X7" s="8" t="s">
        <v>1</v>
      </c>
      <c r="Y7" s="8" t="s">
        <v>1</v>
      </c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0">
        <v>1506</v>
      </c>
      <c r="C8" s="21" t="s">
        <v>72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 t="s">
        <v>3</v>
      </c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0">
        <v>1507</v>
      </c>
      <c r="C9" s="22" t="s">
        <v>73</v>
      </c>
      <c r="D9" s="8"/>
      <c r="E9" s="8"/>
      <c r="F9" s="8"/>
      <c r="G9" s="8"/>
      <c r="H9" s="8"/>
      <c r="I9" s="8"/>
      <c r="J9" s="8"/>
      <c r="K9" s="8"/>
      <c r="L9" s="8" t="s"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 t="s">
        <v>1</v>
      </c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0">
        <v>1508</v>
      </c>
      <c r="C10" s="23" t="s">
        <v>74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0">
        <v>1509</v>
      </c>
      <c r="C11" s="21" t="s">
        <v>75</v>
      </c>
      <c r="D11" s="8" t="s">
        <v>3</v>
      </c>
      <c r="E11" s="8" t="s">
        <v>3</v>
      </c>
      <c r="F11" s="8"/>
      <c r="G11" s="8"/>
      <c r="H11" s="8"/>
      <c r="I11" s="8" t="s">
        <v>3</v>
      </c>
      <c r="J11" s="8" t="s">
        <v>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>
        <v>1510</v>
      </c>
      <c r="C12" s="21" t="s">
        <v>76</v>
      </c>
      <c r="D12" s="8"/>
      <c r="E12" s="8" t="s">
        <v>53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>
        <v>1511</v>
      </c>
      <c r="C13" s="22" t="s">
        <v>77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</v>
      </c>
      <c r="Q13" s="8"/>
      <c r="R13" s="8" t="s">
        <v>1</v>
      </c>
      <c r="S13" s="8" t="s">
        <v>1</v>
      </c>
      <c r="T13" s="8" t="s">
        <v>1</v>
      </c>
      <c r="U13" s="8" t="s">
        <v>1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>
        <v>1512</v>
      </c>
      <c r="C14" s="22" t="s">
        <v>78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>
        <v>1513</v>
      </c>
      <c r="C15" s="21" t="s">
        <v>79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1</v>
      </c>
      <c r="V15" s="8"/>
      <c r="W15" s="8" t="s">
        <v>1</v>
      </c>
      <c r="X15" s="8" t="s">
        <v>1</v>
      </c>
      <c r="Y15" s="8" t="s">
        <v>1</v>
      </c>
      <c r="Z15" s="8" t="s">
        <v>1</v>
      </c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>
        <v>1514</v>
      </c>
      <c r="C16" s="22" t="s">
        <v>80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>
        <v>1515</v>
      </c>
      <c r="C17" s="21" t="s">
        <v>81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>
        <v>1516</v>
      </c>
      <c r="C18" s="21" t="s">
        <v>82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0">
        <v>1517</v>
      </c>
      <c r="C19" s="22" t="s">
        <v>83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0">
        <v>1518</v>
      </c>
      <c r="C20" s="22" t="s">
        <v>84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0">
        <v>1519</v>
      </c>
      <c r="C21" s="21" t="s">
        <v>85</v>
      </c>
      <c r="D21" s="8"/>
      <c r="E21" s="8"/>
      <c r="F21" s="8"/>
      <c r="G21" s="8"/>
      <c r="H21" s="8"/>
      <c r="I21" s="8"/>
      <c r="J21" s="8"/>
      <c r="K21" s="8"/>
      <c r="L21" s="8" t="s">
        <v>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0">
        <v>1520</v>
      </c>
      <c r="C22" s="22" t="s">
        <v>86</v>
      </c>
      <c r="D22" s="8"/>
      <c r="E22" s="8"/>
      <c r="F22" s="8"/>
      <c r="G22" s="8"/>
      <c r="H22" s="8"/>
      <c r="I22" s="8"/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0">
        <v>1521</v>
      </c>
      <c r="C23" s="21" t="s">
        <v>87</v>
      </c>
      <c r="D23" s="8"/>
      <c r="E23" s="8"/>
      <c r="F23" s="8"/>
      <c r="G23" s="8"/>
      <c r="H23" s="8"/>
      <c r="I23" s="8"/>
      <c r="J23" s="8" t="s">
        <v>3</v>
      </c>
      <c r="K23" s="8"/>
      <c r="L23" s="8"/>
      <c r="M23" s="8"/>
      <c r="N23" s="8"/>
      <c r="O23" s="8"/>
      <c r="P23" s="8" t="s">
        <v>1</v>
      </c>
      <c r="Q23" s="8"/>
      <c r="R23" s="8" t="s">
        <v>1</v>
      </c>
      <c r="S23" s="8" t="s">
        <v>1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0">
        <v>1522</v>
      </c>
      <c r="C24" s="24" t="s">
        <v>88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0">
        <v>1523</v>
      </c>
      <c r="C25" s="21" t="s">
        <v>89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0">
        <v>1524</v>
      </c>
      <c r="C26" s="21" t="s">
        <v>90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0">
        <v>1525</v>
      </c>
      <c r="C27" s="22" t="s">
        <v>91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0">
        <v>1526</v>
      </c>
      <c r="C28" s="21" t="s">
        <v>92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1</v>
      </c>
      <c r="AC28" s="8"/>
      <c r="AD28" s="8" t="s">
        <v>1</v>
      </c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0">
        <v>1527</v>
      </c>
      <c r="C29" s="22" t="s">
        <v>93</v>
      </c>
      <c r="D29" s="8"/>
      <c r="E29" s="8"/>
      <c r="F29" s="8"/>
      <c r="G29" s="8"/>
      <c r="H29" s="8"/>
      <c r="I29" s="8"/>
      <c r="J29" s="8"/>
      <c r="K29" s="8" t="s">
        <v>1</v>
      </c>
      <c r="L29" s="8" t="s">
        <v>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0">
        <v>1528</v>
      </c>
      <c r="C30" s="21" t="s">
        <v>94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0">
        <v>1529</v>
      </c>
      <c r="C31" s="25" t="s">
        <v>95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 t="s">
        <v>1</v>
      </c>
      <c r="Q31" s="8"/>
      <c r="R31" s="8" t="s">
        <v>1</v>
      </c>
      <c r="S31" s="8" t="s">
        <v>1</v>
      </c>
      <c r="T31" s="8" t="s">
        <v>1</v>
      </c>
      <c r="U31" s="8" t="s">
        <v>1</v>
      </c>
      <c r="V31" s="8"/>
      <c r="W31" s="8" t="s">
        <v>1</v>
      </c>
      <c r="X31" s="8" t="s">
        <v>1</v>
      </c>
      <c r="Y31" s="8" t="s">
        <v>1</v>
      </c>
      <c r="Z31" s="8" t="s">
        <v>1</v>
      </c>
      <c r="AA31" s="8"/>
      <c r="AB31" s="8"/>
      <c r="AC31" s="8"/>
      <c r="AD31" s="8" t="s">
        <v>43</v>
      </c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0">
        <v>1530</v>
      </c>
      <c r="C32" s="22" t="s">
        <v>96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0">
        <v>1531</v>
      </c>
      <c r="C33" s="21" t="s">
        <v>97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0">
        <v>1532</v>
      </c>
      <c r="C34" s="21" t="s">
        <v>98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0">
        <v>1533</v>
      </c>
      <c r="C35" s="22" t="s">
        <v>99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3</v>
      </c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0">
        <v>1534</v>
      </c>
      <c r="C36" s="22" t="s">
        <v>100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E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</dataValidations>
  <pageMargins left="0.3" right="0.3" top="0.3" bottom="0.3" header="0" footer="0"/>
  <pageSetup paperSize="14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8"/>
  <sheetViews>
    <sheetView topLeftCell="A22" workbookViewId="0">
      <selection activeCell="Z42" sqref="Z42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9" width="5" hidden="1" customWidth="1"/>
    <col min="10" max="10" width="5" customWidth="1"/>
    <col min="11" max="16" width="5" hidden="1" customWidth="1"/>
    <col min="17" max="21" width="5" customWidth="1"/>
    <col min="22" max="22" width="5" hidden="1" customWidth="1"/>
    <col min="23" max="34" width="5" customWidth="1"/>
    <col min="35" max="37" width="8.7265625" hidden="1" customWidth="1"/>
    <col min="38" max="41" width="5.54296875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101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24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9">
        <v>1439</v>
      </c>
      <c r="C7" s="14" t="s">
        <v>102</v>
      </c>
      <c r="D7" s="8" t="s">
        <v>3</v>
      </c>
      <c r="E7" s="8" t="s">
        <v>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9">
        <v>1441</v>
      </c>
      <c r="C8" s="15" t="s">
        <v>103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9">
        <v>1449</v>
      </c>
      <c r="C9" s="15" t="s">
        <v>104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9">
        <v>1450</v>
      </c>
      <c r="C10" s="16" t="s">
        <v>105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9">
        <v>1459</v>
      </c>
      <c r="C11" s="16" t="s">
        <v>106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>
        <v>1473</v>
      </c>
      <c r="C12" s="15" t="s">
        <v>107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 t="s">
        <v>1</v>
      </c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>
        <v>1476</v>
      </c>
      <c r="C13" s="16" t="s">
        <v>108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>
        <v>1477</v>
      </c>
      <c r="C14" s="15" t="s">
        <v>109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>
        <v>1478</v>
      </c>
      <c r="C15" s="15" t="s">
        <v>110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>
        <v>1479</v>
      </c>
      <c r="C16" s="15" t="s">
        <v>111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>
        <v>1480</v>
      </c>
      <c r="C17" s="15" t="s">
        <v>112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>
        <v>1481</v>
      </c>
      <c r="C18" s="15" t="s">
        <v>113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>
        <v>1482</v>
      </c>
      <c r="C19" s="15" t="s">
        <v>114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>
        <v>1483</v>
      </c>
      <c r="C20" s="15" t="s">
        <v>115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>
        <v>1484</v>
      </c>
      <c r="C21" s="16" t="s">
        <v>116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 t="s">
        <v>3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>
        <v>1485</v>
      </c>
      <c r="C22" s="16" t="s">
        <v>117</v>
      </c>
      <c r="D22" s="8" t="s">
        <v>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 t="s">
        <v>1</v>
      </c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>
        <v>1486</v>
      </c>
      <c r="C23" s="15" t="s">
        <v>118</v>
      </c>
      <c r="D23" s="8"/>
      <c r="E23" s="8"/>
      <c r="F23" s="8"/>
      <c r="G23" s="8"/>
      <c r="H23" s="8"/>
      <c r="I23" s="8" t="s">
        <v>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>
        <v>1487</v>
      </c>
      <c r="C24" s="16" t="s">
        <v>119</v>
      </c>
      <c r="D24" s="8"/>
      <c r="E24" s="8"/>
      <c r="F24" s="8"/>
      <c r="G24" s="8"/>
      <c r="H24" s="8"/>
      <c r="I24" s="8" t="s">
        <v>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 t="s">
        <v>3</v>
      </c>
      <c r="X24" s="8"/>
      <c r="Y24" s="8"/>
      <c r="Z24" s="8" t="s">
        <v>3</v>
      </c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>
        <v>1488</v>
      </c>
      <c r="C25" s="14" t="s">
        <v>120</v>
      </c>
      <c r="D25" s="8" t="s">
        <v>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 t="s">
        <v>1</v>
      </c>
      <c r="X25" s="8"/>
      <c r="Y25" s="8"/>
      <c r="Z25" s="8" t="s">
        <v>3</v>
      </c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>
        <v>1489</v>
      </c>
      <c r="C26" s="16" t="s">
        <v>121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</v>
      </c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>
        <v>1490</v>
      </c>
      <c r="C27" s="16" t="s">
        <v>122</v>
      </c>
      <c r="D27" s="8"/>
      <c r="E27" s="8"/>
      <c r="F27" s="8"/>
      <c r="G27" s="8"/>
      <c r="H27" s="8"/>
      <c r="I27" s="8"/>
      <c r="J27" s="8" t="s">
        <v>1</v>
      </c>
      <c r="K27" s="8"/>
      <c r="L27" s="8"/>
      <c r="M27" s="8"/>
      <c r="N27" s="8"/>
      <c r="O27" s="8"/>
      <c r="P27" s="8" t="s">
        <v>1</v>
      </c>
      <c r="Q27" s="8"/>
      <c r="R27" s="8"/>
      <c r="S27" s="8"/>
      <c r="T27" s="8"/>
      <c r="U27" s="8"/>
      <c r="V27" s="8"/>
      <c r="W27" s="8" t="s">
        <v>1</v>
      </c>
      <c r="X27" s="8" t="s">
        <v>1</v>
      </c>
      <c r="Y27" s="8" t="s">
        <v>1</v>
      </c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>
        <v>1491</v>
      </c>
      <c r="C28" s="15" t="s">
        <v>123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>
        <v>1492</v>
      </c>
      <c r="C29" s="15" t="s">
        <v>124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>
        <v>1493</v>
      </c>
      <c r="C30" s="15" t="s">
        <v>125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s">
        <v>126</v>
      </c>
      <c r="S30" s="8"/>
      <c r="T30" s="8"/>
      <c r="U30" s="8"/>
      <c r="V30" s="8"/>
      <c r="W30" s="8"/>
      <c r="X30" s="8"/>
      <c r="Y30" s="8"/>
      <c r="Z30" s="8"/>
      <c r="AA30" s="8"/>
      <c r="AB30" s="8" t="s">
        <v>3</v>
      </c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>
        <v>1494</v>
      </c>
      <c r="C31" s="16" t="s">
        <v>127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3</v>
      </c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>
        <v>1495</v>
      </c>
      <c r="C32" s="16" t="s">
        <v>128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>
        <v>1496</v>
      </c>
      <c r="C33" s="15" t="s">
        <v>129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>
        <v>1497</v>
      </c>
      <c r="C34" s="16" t="s">
        <v>130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>
        <v>1498</v>
      </c>
      <c r="C35" s="14" t="s">
        <v>131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>
        <v>1499</v>
      </c>
      <c r="C36" s="16" t="s">
        <v>132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>
        <v>1500</v>
      </c>
      <c r="C37" s="16" t="s">
        <v>133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>
        <v>1501</v>
      </c>
      <c r="C38" s="16" t="s">
        <v>134</v>
      </c>
      <c r="D38" s="8"/>
      <c r="E38" s="8"/>
      <c r="F38" s="8"/>
      <c r="G38" s="8"/>
      <c r="H38" s="8"/>
      <c r="I38" s="8" t="s">
        <v>1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>
        <v>1502</v>
      </c>
      <c r="C39" s="15" t="s">
        <v>135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>
        <v>1503</v>
      </c>
      <c r="C40" s="18" t="s">
        <v>136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>
        <v>1504</v>
      </c>
      <c r="C41" s="14" t="s">
        <v>137</v>
      </c>
      <c r="D41" s="8"/>
      <c r="E41" s="8" t="s">
        <v>3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>
        <v>1535</v>
      </c>
      <c r="C42" s="16" t="s">
        <v>138</v>
      </c>
      <c r="D42" s="8"/>
      <c r="E42" s="8"/>
      <c r="F42" s="8"/>
      <c r="G42" s="8"/>
      <c r="H42" s="8"/>
      <c r="I42" s="8"/>
      <c r="J42" s="8" t="s">
        <v>3</v>
      </c>
      <c r="K42" s="8"/>
      <c r="L42" s="8"/>
      <c r="M42" s="8"/>
      <c r="N42" s="8"/>
      <c r="O42" s="8"/>
      <c r="P42" s="8" t="s">
        <v>3</v>
      </c>
      <c r="Q42" s="8" t="s">
        <v>3</v>
      </c>
      <c r="R42" s="8" t="s">
        <v>3</v>
      </c>
      <c r="S42" s="8"/>
      <c r="T42" s="8"/>
      <c r="U42" s="8"/>
      <c r="V42" s="8"/>
      <c r="W42" s="8"/>
      <c r="X42" s="8"/>
      <c r="Y42" s="8"/>
      <c r="Z42" s="8" t="s">
        <v>3</v>
      </c>
      <c r="AA42" s="8"/>
      <c r="AB42" s="8" t="s">
        <v>3</v>
      </c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 t="s">
        <v>139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>
      <c r="Q55" t="s">
        <v>1</v>
      </c>
      <c r="R55" t="s">
        <v>1</v>
      </c>
      <c r="S55" t="s">
        <v>1</v>
      </c>
    </row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2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98"/>
  <sheetViews>
    <sheetView workbookViewId="0">
      <selection activeCell="U7" sqref="U7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6" width="5" hidden="1" customWidth="1"/>
    <col min="17" max="21" width="5" customWidth="1"/>
    <col min="22" max="22" width="5" hidden="1" customWidth="1"/>
    <col min="23" max="34" width="5" customWidth="1"/>
    <col min="35" max="37" width="8.7265625" customWidth="1"/>
    <col min="38" max="41" width="5.54296875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140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>
        <v>1386</v>
      </c>
      <c r="C7" s="29" t="s">
        <v>141</v>
      </c>
      <c r="D7" s="8"/>
      <c r="E7" s="8"/>
      <c r="F7" s="8"/>
      <c r="G7" s="8"/>
      <c r="H7" s="8"/>
      <c r="I7" s="8"/>
      <c r="J7" s="8" t="s">
        <v>3</v>
      </c>
      <c r="K7" s="8"/>
      <c r="L7" s="8"/>
      <c r="M7" s="8"/>
      <c r="N7" s="8"/>
      <c r="O7" s="8"/>
      <c r="P7" s="8"/>
      <c r="Q7" s="8"/>
      <c r="R7" s="19"/>
      <c r="S7" s="8" t="s">
        <v>1</v>
      </c>
      <c r="T7" s="8"/>
      <c r="U7" s="8"/>
      <c r="V7" s="8"/>
      <c r="W7" s="8"/>
      <c r="X7" s="8"/>
      <c r="Y7" s="8"/>
      <c r="Z7" s="8" t="s">
        <v>1</v>
      </c>
      <c r="AA7" s="8"/>
      <c r="AB7" s="8" t="s">
        <v>1</v>
      </c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8">
        <v>1428</v>
      </c>
      <c r="C8" s="30" t="s">
        <v>142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8">
        <v>1429</v>
      </c>
      <c r="C9" s="31" t="s">
        <v>143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8">
        <v>1430</v>
      </c>
      <c r="C10" s="32" t="s">
        <v>144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1</v>
      </c>
      <c r="U10" s="8"/>
      <c r="V10" s="8"/>
      <c r="W10" s="8"/>
      <c r="X10" s="8"/>
      <c r="Y10" s="8"/>
      <c r="Z10" s="8" t="s">
        <v>1</v>
      </c>
      <c r="AA10" s="8"/>
      <c r="AB10" s="8" t="s">
        <v>1</v>
      </c>
      <c r="AC10" s="8"/>
      <c r="AD10" s="8" t="s">
        <v>1</v>
      </c>
      <c r="AE10" s="8"/>
      <c r="AF10" s="8"/>
      <c r="AG10" s="8"/>
      <c r="AH10" s="8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8">
        <v>1432</v>
      </c>
      <c r="C11" s="31" t="s">
        <v>145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>
        <v>1433</v>
      </c>
      <c r="C12" s="29" t="s">
        <v>146</v>
      </c>
      <c r="D12" s="8"/>
      <c r="E12" s="8"/>
      <c r="F12" s="8"/>
      <c r="G12" s="8"/>
      <c r="H12" s="8"/>
      <c r="I12" s="8" t="s">
        <v>1</v>
      </c>
      <c r="J12" s="8"/>
      <c r="K12" s="8" t="s">
        <v>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>
        <v>1435</v>
      </c>
      <c r="C13" s="31" t="s">
        <v>147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>
        <v>1436</v>
      </c>
      <c r="C14" s="29" t="s">
        <v>148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>
        <v>1437</v>
      </c>
      <c r="C15" s="31" t="s">
        <v>149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>
        <v>1438</v>
      </c>
      <c r="C16" s="31" t="s">
        <v>150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>
        <v>1440</v>
      </c>
      <c r="C17" s="29" t="s">
        <v>151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>
        <v>1442</v>
      </c>
      <c r="C18" s="31" t="s">
        <v>152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 t="s">
        <v>1</v>
      </c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>
        <v>1443</v>
      </c>
      <c r="C19" s="29" t="s">
        <v>153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>
        <v>1444</v>
      </c>
      <c r="C20" s="31" t="s">
        <v>154</v>
      </c>
      <c r="D20" s="8" t="s">
        <v>1</v>
      </c>
      <c r="E20" s="8" t="s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5">
        <v>1445</v>
      </c>
      <c r="C21" s="24" t="s">
        <v>155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>
        <v>1446</v>
      </c>
      <c r="C22" s="33" t="s">
        <v>156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 t="s">
        <v>1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>
        <v>1447</v>
      </c>
      <c r="C23" s="29" t="s">
        <v>157</v>
      </c>
      <c r="D23" s="8"/>
      <c r="E23" s="8"/>
      <c r="F23" s="8"/>
      <c r="G23" s="8"/>
      <c r="H23" s="8"/>
      <c r="I23" s="8"/>
      <c r="J23" s="8"/>
      <c r="K23" s="8"/>
      <c r="L23" s="8" t="s">
        <v>1</v>
      </c>
      <c r="M23" s="8"/>
      <c r="N23" s="8"/>
      <c r="O23" s="8"/>
      <c r="P23" s="8" t="s">
        <v>1</v>
      </c>
      <c r="Q23" s="8"/>
      <c r="R23" s="8" t="s">
        <v>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>
        <v>1448</v>
      </c>
      <c r="C24" s="29" t="s">
        <v>158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>
        <v>1451</v>
      </c>
      <c r="C25" s="29" t="s">
        <v>159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>
        <v>1452</v>
      </c>
      <c r="C26" s="31" t="s">
        <v>160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>
        <v>1453</v>
      </c>
      <c r="C27" s="29" t="s">
        <v>161</v>
      </c>
      <c r="D27" s="8"/>
      <c r="E27" s="8"/>
      <c r="F27" s="8"/>
      <c r="G27" s="8"/>
      <c r="H27" s="8"/>
      <c r="I27" s="8"/>
      <c r="J27" s="8"/>
      <c r="K27" s="8"/>
      <c r="L27" s="8" t="s">
        <v>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>
        <v>1454</v>
      </c>
      <c r="C28" s="29" t="s">
        <v>162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 t="s">
        <v>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 t="s">
        <v>1</v>
      </c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>
        <v>1455</v>
      </c>
      <c r="C29" s="29" t="s">
        <v>163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>
        <v>1456</v>
      </c>
      <c r="C30" s="31" t="s">
        <v>164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1</v>
      </c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>
        <v>1457</v>
      </c>
      <c r="C31" s="29" t="s">
        <v>165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 t="s">
        <v>1</v>
      </c>
      <c r="T31" s="8" t="s">
        <v>1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>
        <v>1458</v>
      </c>
      <c r="C32" s="29" t="s">
        <v>166</v>
      </c>
      <c r="D32" s="8" t="s">
        <v>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>
        <v>1461</v>
      </c>
      <c r="C33" s="34" t="s">
        <v>167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>
        <v>1462</v>
      </c>
      <c r="C34" s="29" t="s">
        <v>168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s">
        <v>1</v>
      </c>
      <c r="S34" s="8" t="s">
        <v>1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>
        <v>1463</v>
      </c>
      <c r="C35" s="29" t="s">
        <v>169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>
        <v>1465</v>
      </c>
      <c r="C36" s="29" t="s">
        <v>170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28">
        <v>1466</v>
      </c>
      <c r="C37" s="29" t="s">
        <v>171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 t="s">
        <v>1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 t="s">
        <v>1</v>
      </c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28">
        <v>1468</v>
      </c>
      <c r="C38" s="29" t="s">
        <v>172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 t="s">
        <v>1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28">
        <v>1470</v>
      </c>
      <c r="C39" s="31" t="s">
        <v>173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28">
        <v>1471</v>
      </c>
      <c r="C40" s="31" t="s">
        <v>174</v>
      </c>
      <c r="D40" s="8" t="s">
        <v>3</v>
      </c>
      <c r="E40" s="8" t="s">
        <v>43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 t="s">
        <v>1</v>
      </c>
      <c r="S40" s="8"/>
      <c r="T40" s="8"/>
      <c r="U40" s="8"/>
      <c r="V40" s="8"/>
      <c r="W40" s="8"/>
      <c r="X40" s="8"/>
      <c r="Y40" s="8"/>
      <c r="Z40" s="8"/>
      <c r="AA40" s="8"/>
      <c r="AB40" s="8" t="s">
        <v>1</v>
      </c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28">
        <v>1472</v>
      </c>
      <c r="C41" s="29" t="s">
        <v>175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28">
        <v>1475</v>
      </c>
      <c r="C42" s="29" t="s">
        <v>176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3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cp:lastPrinted>2026-04-30T05:13:49Z</cp:lastPrinted>
  <dcterms:created xsi:type="dcterms:W3CDTF">2025-08-30T01:54:57Z</dcterms:created>
  <dcterms:modified xsi:type="dcterms:W3CDTF">2026-04-30T05:14:41Z</dcterms:modified>
</cp:coreProperties>
</file>