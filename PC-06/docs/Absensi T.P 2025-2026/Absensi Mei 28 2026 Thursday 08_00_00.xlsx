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emory\PC-06\docs\"/>
    </mc:Choice>
  </mc:AlternateContent>
  <xr:revisionPtr revIDLastSave="0" documentId="13_ncr:1_{FD2C226F-78D3-4D61-B5E5-79102E28D7C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4" l="1"/>
  <c r="D5" i="3"/>
  <c r="D5" i="2"/>
  <c r="B49" i="4"/>
  <c r="B48" i="4"/>
  <c r="B47" i="4"/>
  <c r="B46" i="4"/>
  <c r="B45" i="4"/>
  <c r="B44" i="4"/>
  <c r="B43" i="4"/>
  <c r="B49" i="3"/>
  <c r="B48" i="3"/>
  <c r="B47" i="3"/>
  <c r="B46" i="3"/>
  <c r="B45" i="3"/>
  <c r="B44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<sst xmlns="http://schemas.openxmlformats.org/spreadsheetml/2006/main" count="411" uniqueCount="175">
  <si>
    <t xml:space="preserve">               TK SWASTA METHODIST-11</t>
  </si>
  <si>
    <t>S</t>
  </si>
  <si>
    <t xml:space="preserve">               DAFTAR NAMA MURID T.P. 2025/2026</t>
  </si>
  <si>
    <t>I</t>
  </si>
  <si>
    <t>PG</t>
  </si>
  <si>
    <t>Kelas</t>
  </si>
  <si>
    <t>Walikelas</t>
  </si>
  <si>
    <t>Nomor</t>
  </si>
  <si>
    <t>Nama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</si>
  <si>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</si>
  <si>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</si>
  <si>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</si>
  <si>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</si>
  <si>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</si>
  <si>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</si>
  <si>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</si>
  <si>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</si>
  <si>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</si>
  <si>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</si>
  <si>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</si>
  <si>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</si>
  <si>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</si>
  <si>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</si>
  <si>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</si>
  <si>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</si>
  <si>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</si>
  <si>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</si>
  <si>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</si>
  <si>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</si>
  <si>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</si>
  <si>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</si>
  <si>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</si>
  <si>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</si>
  <si>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</si>
  <si>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</si>
  <si>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</si>
  <si>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</si>
  <si>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</si>
  <si>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</si>
  <si>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</si>
  <si>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</si>
  <si>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</si>
  <si>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</si>
  <si>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</si>
  <si>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0221</t>
  </si>
  <si>
    <t>Edbert Reynaldo Lim</t>
  </si>
  <si>
    <t>0228</t>
  </si>
  <si>
    <t>Axelle Tiandra Ong</t>
  </si>
  <si>
    <t>0229</t>
  </si>
  <si>
    <t>Carencya Chailinskie</t>
  </si>
  <si>
    <t>0230</t>
  </si>
  <si>
    <t xml:space="preserve">Evano Ryu Tanzil </t>
  </si>
  <si>
    <t>0231</t>
  </si>
  <si>
    <t>Gareth Grealish Dharmawan</t>
  </si>
  <si>
    <t>0232</t>
  </si>
  <si>
    <t>Joverick Walton</t>
  </si>
  <si>
    <t>0233</t>
  </si>
  <si>
    <t>Kaylyn Gavril Winlie</t>
  </si>
  <si>
    <t>0234</t>
  </si>
  <si>
    <t>Rachel Crystaline Benyamin</t>
  </si>
  <si>
    <t>0235</t>
  </si>
  <si>
    <t>Rachel Veisya Chan</t>
  </si>
  <si>
    <t>0236</t>
  </si>
  <si>
    <t>Rachellyn Gracia Chindra</t>
  </si>
  <si>
    <t>0237</t>
  </si>
  <si>
    <t>Roderick Yang</t>
  </si>
  <si>
    <t>Elvano Leonardi</t>
  </si>
  <si>
    <t>TKA</t>
  </si>
  <si>
    <t>Aldrich Bona Munson Nababan</t>
  </si>
  <si>
    <t>Azka Andreas</t>
  </si>
  <si>
    <t>Celine Grace Zhang</t>
  </si>
  <si>
    <t>Clarence Queenicca Zhang</t>
  </si>
  <si>
    <t>Clarissa Jovanka Sugiharto</t>
  </si>
  <si>
    <t>Clarissa Lim</t>
  </si>
  <si>
    <t>Clarita Olivia Sinaga</t>
  </si>
  <si>
    <t>Coryn Aurora Zhan</t>
  </si>
  <si>
    <t>Darren Elvano</t>
  </si>
  <si>
    <t>Darren Tristan</t>
  </si>
  <si>
    <t>Davian Kenrick Lu</t>
  </si>
  <si>
    <t>Devan Ivander Siahaan</t>
  </si>
  <si>
    <t>Elsa Harianja</t>
  </si>
  <si>
    <t>Ferencia Lu</t>
  </si>
  <si>
    <t>Jemia Zhevano Yamresa Kembaren</t>
  </si>
  <si>
    <t>Jocelyn Marcella Su</t>
  </si>
  <si>
    <t>Joevanca Chesa Athalia</t>
  </si>
  <si>
    <t>Kayla Hosanna Charissa Sihombing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</si>
  <si>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</si>
  <si>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</si>
  <si>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</si>
  <si>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</si>
  <si>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</si>
  <si>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</si>
  <si>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Richelcia Wijaya</t>
  </si>
  <si>
    <t>Ricson Valenthino</t>
  </si>
  <si>
    <t>Rui Reynara Shen</t>
  </si>
  <si>
    <t>Shane Michael Lienardie</t>
  </si>
  <si>
    <t>Shelomitha Eliora Simanjuntak</t>
  </si>
  <si>
    <t>Willian Geoffrey Utama</t>
  </si>
  <si>
    <t>TKB1</t>
  </si>
  <si>
    <t>Kyla Nathania Chang</t>
  </si>
  <si>
    <t>Muhammad Raffasya Aditya</t>
  </si>
  <si>
    <t>Valerie Tohvinsky</t>
  </si>
  <si>
    <t>Vincent Andreanus</t>
  </si>
  <si>
    <t>Edmond Axelle Chan</t>
  </si>
  <si>
    <t>Raileen Valerie Hugo</t>
  </si>
  <si>
    <t>Abraham Katikana Ginting</t>
  </si>
  <si>
    <t>Adelia Manuella Br. Butar-butar</t>
  </si>
  <si>
    <t>Arnold Johannes Lutan</t>
  </si>
  <si>
    <t>Bhaskara Salomo Siregar</t>
  </si>
  <si>
    <t>Darren Almero Chen</t>
  </si>
  <si>
    <t>Darren Hasiholan Nahulae</t>
  </si>
  <si>
    <t>Effendi</t>
  </si>
  <si>
    <t>Geonathan Samudra Simamora</t>
  </si>
  <si>
    <t>Gestalt Jesen Edellio Manurung</t>
  </si>
  <si>
    <t>Grace Felicia Simbolon</t>
  </si>
  <si>
    <t>Janeeta Elora Silaban</t>
  </si>
  <si>
    <t>Jayden Febrian Chai</t>
  </si>
  <si>
    <t>Jocelin Samosir</t>
  </si>
  <si>
    <t>Kartika Joceline Simanjuntak</t>
  </si>
  <si>
    <t>Larasaty Pramidita Sihite</t>
  </si>
  <si>
    <t>Michelle Angela Tan</t>
  </si>
  <si>
    <t>Mikhael Glorius Simbolon</t>
  </si>
  <si>
    <t>Naraya Elsandri Br. Sembiring</t>
  </si>
  <si>
    <t>s</t>
  </si>
  <si>
    <t>Reinier Jackson Yaputra</t>
  </si>
  <si>
    <t>Rweno Richie</t>
  </si>
  <si>
    <t>Sagiv Levinskie Nainggolan</t>
  </si>
  <si>
    <t>Sean Milan Saragih</t>
  </si>
  <si>
    <t>Sheera Leticia Nainggolan</t>
  </si>
  <si>
    <t>Sheryn Florencia Nainggolan</t>
  </si>
  <si>
    <t>Trini Arindy Br. Pasaribu</t>
  </si>
  <si>
    <t>Valencia Tjuatja</t>
  </si>
  <si>
    <t>Vallerie Laurist</t>
  </si>
  <si>
    <t>Vionetta Brylie Siregar</t>
  </si>
  <si>
    <t>Wilson Nicholas Lim</t>
  </si>
  <si>
    <t>Gabe Cristiano Gultom</t>
  </si>
  <si>
    <t>helena</t>
  </si>
  <si>
    <t>TKB2</t>
  </si>
  <si>
    <t>Chelsea Valerie</t>
  </si>
  <si>
    <t>Adrellia Tessya Samantha Sianturi</t>
  </si>
  <si>
    <t>Arfan Ginting</t>
  </si>
  <si>
    <t>Brienne Nathania Carolyne Pakpahan</t>
  </si>
  <si>
    <t>Chester Tankino</t>
  </si>
  <si>
    <t>Cristine Dharani</t>
  </si>
  <si>
    <t>Gavinta Elon Siregar</t>
  </si>
  <si>
    <t>Gavrila Maranatha Maris Panjaitan</t>
  </si>
  <si>
    <t>Given Ryshaka Simbolon</t>
  </si>
  <si>
    <t>Joachim Yang</t>
  </si>
  <si>
    <t>Michelle Kimberly Gui</t>
  </si>
  <si>
    <t>Pangeran Hagro Haloho</t>
  </si>
  <si>
    <t>Pedro Karvinta Sembiring</t>
  </si>
  <si>
    <t>Richa Dwily</t>
  </si>
  <si>
    <t>Robyn Imanuel Louis</t>
  </si>
  <si>
    <t>Shayna Amoureyza Sitepu</t>
  </si>
  <si>
    <t>Stevia Chrisela Chai</t>
  </si>
  <si>
    <t>Theo Rafa Pakpahan</t>
  </si>
  <si>
    <t>Vinnie Gea Halim</t>
  </si>
  <si>
    <t>Abercio Kiano Drake</t>
  </si>
  <si>
    <t>Aleysia Callista Br Ompusunggu</t>
  </si>
  <si>
    <t>Alvaro Gavriel Karo Karo</t>
  </si>
  <si>
    <t>Bryan Maxwell Angkasa</t>
  </si>
  <si>
    <t>Christine Laotan</t>
  </si>
  <si>
    <t>Claudia Zetta Br Tarigan</t>
  </si>
  <si>
    <t>Daven Gavriel Winlie</t>
  </si>
  <si>
    <t>Felix Louis</t>
  </si>
  <si>
    <t>Glerine Richya Tumanggor</t>
  </si>
  <si>
    <t>Grace Nataly</t>
  </si>
  <si>
    <t>Greysia Dhita Panggabean</t>
  </si>
  <si>
    <t>Jasmine Valerie Yap</t>
  </si>
  <si>
    <t>Kenstein Elton Lim</t>
  </si>
  <si>
    <t>Kenzo Kiano</t>
  </si>
  <si>
    <t>Marquez Boas Aritonang</t>
  </si>
  <si>
    <t>Peter Djuandi</t>
  </si>
  <si>
    <t>Hiromi Sheena Silalahi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</si>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</sst>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workbookViewId="0">
      <selection activeCell="D5" sqref="D5:AH5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5" width="3.453125" customWidth="1"/>
    <col min="6" max="6" width="3.453125" hidden="1" customWidth="1"/>
    <col min="7" max="12" width="3.453125" customWidth="1"/>
    <col min="13" max="13" width="3.453125" hidden="1" customWidth="1"/>
    <col min="14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174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9</v>
      </c>
      <c r="B6" s="6" t="s">
        <v>10</v>
      </c>
      <c r="C6" s="42"/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  <c r="U6" s="7" t="s">
        <v>28</v>
      </c>
      <c r="V6" s="7" t="s">
        <v>29</v>
      </c>
      <c r="W6" s="7" t="s">
        <v>30</v>
      </c>
      <c r="X6" s="7" t="s">
        <v>31</v>
      </c>
      <c r="Y6" s="7" t="s">
        <v>32</v>
      </c>
      <c r="Z6" s="7" t="s">
        <v>33</v>
      </c>
      <c r="AA6" s="7" t="s">
        <v>34</v>
      </c>
      <c r="AB6" s="7" t="s">
        <v>35</v>
      </c>
      <c r="AC6" s="7" t="s">
        <v>36</v>
      </c>
      <c r="AD6" s="7" t="s">
        <v>37</v>
      </c>
      <c r="AE6" s="7" t="s">
        <v>38</v>
      </c>
      <c r="AF6" s="7" t="s">
        <v>39</v>
      </c>
      <c r="AG6" s="7" t="s">
        <v>40</v>
      </c>
      <c r="AH6" s="7" t="s">
        <v>41</v>
      </c>
      <c r="AL6" s="8" t="s">
        <v>1</v>
      </c>
      <c r="AM6" s="8" t="s">
        <v>3</v>
      </c>
      <c r="AN6" s="8" t="s">
        <v>42</v>
      </c>
      <c r="AO6" s="8" t="s">
        <v>43</v>
      </c>
    </row>
    <row r="7" spans="1:41" ht="12" customHeight="1" x14ac:dyDescent="0.35">
      <c r="A7" s="9">
        <v>1</v>
      </c>
      <c r="B7" s="20" t="s">
        <v>44</v>
      </c>
      <c r="C7" s="2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 t="s">
        <v>1</v>
      </c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 t="s">
        <v>46</v>
      </c>
      <c r="C8" s="26" t="s">
        <v>47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 t="s">
        <v>48</v>
      </c>
      <c r="C9" s="26" t="s">
        <v>49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1</v>
      </c>
      <c r="V9" s="8" t="s">
        <v>1</v>
      </c>
      <c r="W9" s="8" t="s">
        <v>1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 t="s">
        <v>50</v>
      </c>
      <c r="C10" s="27" t="s">
        <v>51</v>
      </c>
      <c r="D10" s="12"/>
      <c r="E10" s="12"/>
      <c r="F10" s="12"/>
      <c r="G10" s="12" t="s"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 t="s">
        <v>1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 t="s">
        <v>52</v>
      </c>
      <c r="C11" s="27" t="s">
        <v>53</v>
      </c>
      <c r="D11" s="8"/>
      <c r="E11" s="8" t="s">
        <v>1</v>
      </c>
      <c r="F11" s="8"/>
      <c r="G11" s="8" t="s">
        <v>1</v>
      </c>
      <c r="H11" s="8"/>
      <c r="I11" s="8"/>
      <c r="J11" s="8" t="s">
        <v>1</v>
      </c>
      <c r="K11" s="8" t="s">
        <v>1</v>
      </c>
      <c r="L11" s="8" t="s">
        <v>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 t="s">
        <v>54</v>
      </c>
      <c r="C12" s="25" t="s">
        <v>55</v>
      </c>
      <c r="D12" s="8"/>
      <c r="E12" s="8"/>
      <c r="F12" s="8"/>
      <c r="G12" s="8" t="s">
        <v>3</v>
      </c>
      <c r="H12" s="8"/>
      <c r="I12" s="8"/>
      <c r="J12" s="8"/>
      <c r="K12" s="8"/>
      <c r="L12" s="8"/>
      <c r="M12" s="8"/>
      <c r="N12" s="8"/>
      <c r="O12" s="8"/>
      <c r="P12" s="8" t="s">
        <v>3</v>
      </c>
      <c r="Q12" s="8"/>
      <c r="R12" s="8"/>
      <c r="S12" s="8" t="s">
        <v>3</v>
      </c>
      <c r="T12" s="8"/>
      <c r="U12" s="8"/>
      <c r="V12" s="8"/>
      <c r="W12" s="8"/>
      <c r="X12" s="8" t="s">
        <v>3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 t="s">
        <v>56</v>
      </c>
      <c r="C13" s="27" t="s">
        <v>57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 t="s">
        <v>58</v>
      </c>
      <c r="C14" s="27" t="s">
        <v>59</v>
      </c>
      <c r="D14" s="8"/>
      <c r="E14" s="8"/>
      <c r="F14" s="8"/>
      <c r="G14" s="8"/>
      <c r="H14" s="8"/>
      <c r="I14" s="8"/>
      <c r="J14" s="8"/>
      <c r="K14" s="8"/>
      <c r="L14" s="8" t="s">
        <v>3</v>
      </c>
      <c r="M14" s="8"/>
      <c r="N14" s="8" t="s">
        <v>3</v>
      </c>
      <c r="O14" s="8" t="s">
        <v>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 t="s">
        <v>60</v>
      </c>
      <c r="C15" s="27" t="s">
        <v>61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 t="s">
        <v>62</v>
      </c>
      <c r="C16" s="27" t="s">
        <v>63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 t="s">
        <v>64</v>
      </c>
      <c r="C17" s="26" t="s">
        <v>65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66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 t="str">
        <f>IFERROR(VLOOKUP(A19&amp;$AJ$2,#REF!,4,FALSE), "")</f>
        <v/>
      </c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 t="str">
        <f>IFERROR(VLOOKUP(A20&amp;$AJ$2,#REF!,4,FALSE), "")</f>
        <v/>
      </c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 t="str">
        <f>IFERROR(VLOOKUP(A21&amp;$AJ$2,#REF!,4,FALSE), "")</f>
        <v/>
      </c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 t="str">
        <f>IFERROR(VLOOKUP(A22&amp;$AJ$2,#REF!,4,FALSE), "")</f>
        <v/>
      </c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 t="str">
        <f>IFERROR(VLOOKUP(A23&amp;$AJ$2,#REF!,4,FALSE), "")</f>
        <v/>
      </c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 t="str">
        <f>IFERROR(VLOOKUP(A24&amp;$AJ$2,#REF!,4,FALSE), "")</f>
        <v/>
      </c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 t="str">
        <f>IFERROR(VLOOKUP(A25&amp;$AJ$2,#REF!,4,FALSE), "")</f>
        <v/>
      </c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 t="str">
        <f>IFERROR(VLOOKUP(A26&amp;$AJ$2,#REF!,4,FALSE), "")</f>
        <v/>
      </c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 t="str">
        <f>IFERROR(VLOOKUP(A27&amp;$AJ$2,#REF!,4,FALSE), "")</f>
        <v/>
      </c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 t="str">
        <f>IFERROR(VLOOKUP(A28&amp;$AJ$2,#REF!,4,FALSE), "")</f>
        <v/>
      </c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 t="str">
        <f>IFERROR(VLOOKUP(A29&amp;$AJ$2,#REF!,4,FALSE), "")</f>
        <v/>
      </c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 t="str">
        <f>IFERROR(VLOOKUP(A30&amp;$AJ$2,#REF!,4,FALSE), "")</f>
        <v/>
      </c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 t="str">
        <f>IFERROR(VLOOKUP(A31&amp;$AJ$2,#REF!,4,FALSE), "")</f>
        <v/>
      </c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 t="str">
        <f>IFERROR(VLOOKUP(A32&amp;$AJ$2,#REF!,4,FALSE), "")</f>
        <v/>
      </c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 t="str">
        <f>IFERROR(VLOOKUP(A33&amp;$AJ$2,#REF!,4,FALSE), "")</f>
        <v/>
      </c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 t="str">
        <f>IFERROR(VLOOKUP(A34&amp;$AJ$2,#REF!,4,FALSE), "")</f>
        <v/>
      </c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 t="str">
        <f>IFERROR(VLOOKUP(A35&amp;$AJ$2,#REF!,4,FALSE), "")</f>
        <v/>
      </c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 t="str">
        <f>IFERROR(VLOOKUP(A36&amp;$AJ$2,#REF!,4,FALSE), "")</f>
        <v/>
      </c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2:35" ht="14.25" customHeight="1" x14ac:dyDescent="0.35">
      <c r="B49" t="str">
        <f>IFERROR(VLOOKUP(A49&amp;$AJ$2,#REF!,4,FALSE), "")</f>
        <v/>
      </c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2:35" ht="14.25" customHeight="1" x14ac:dyDescent="0.35">
      <c r="C50" s="3" t="s">
        <v>42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14.25" customHeight="1" x14ac:dyDescent="0.35"/>
    <row r="52" spans="2:35" ht="14.25" customHeight="1" x14ac:dyDescent="0.35"/>
    <row r="53" spans="2:35" ht="14.25" customHeight="1" x14ac:dyDescent="0.35"/>
    <row r="54" spans="2:35" ht="14.25" customHeight="1" x14ac:dyDescent="0.35"/>
    <row r="55" spans="2:35" ht="14.25" customHeight="1" x14ac:dyDescent="0.35"/>
    <row r="56" spans="2:35" ht="14.25" customHeight="1" x14ac:dyDescent="0.35"/>
    <row r="57" spans="2:35" ht="14.25" customHeight="1" x14ac:dyDescent="0.35"/>
    <row r="58" spans="2:35" ht="14.25" customHeight="1" x14ac:dyDescent="0.35"/>
    <row r="59" spans="2:35" ht="14.25" customHeight="1" x14ac:dyDescent="0.35"/>
    <row r="60" spans="2:35" ht="14.25" customHeight="1" x14ac:dyDescent="0.35"/>
    <row r="61" spans="2:35" ht="14.25" customHeight="1" x14ac:dyDescent="0.35"/>
    <row r="62" spans="2:35" ht="14.25" customHeight="1" x14ac:dyDescent="0.35"/>
    <row r="63" spans="2:35" ht="14.25" customHeight="1" x14ac:dyDescent="0.35"/>
    <row r="64" spans="2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13 D14:AI14 D15:AH46" xr:uid="{00000000-0002-0000-00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workbookViewId="0">
      <selection activeCell="D6" sqref="D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5" width="3.453125" customWidth="1"/>
    <col min="6" max="6" width="3.453125" hidden="1" customWidth="1"/>
    <col min="7" max="12" width="3.453125" customWidth="1"/>
    <col min="13" max="13" width="3.453125" hidden="1" customWidth="1"/>
    <col min="14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67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tr">
        <f>'Absen PG'!D5</f>
        <v>MEI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9</v>
      </c>
      <c r="B6" s="6" t="s">
        <v>10</v>
      </c>
      <c r="C6" s="42"/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>
        <v>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  <c r="U6" s="7" t="s">
        <v>28</v>
      </c>
      <c r="V6" s="7" t="s">
        <v>29</v>
      </c>
      <c r="W6" s="7" t="s">
        <v>30</v>
      </c>
      <c r="X6" s="7" t="s">
        <v>31</v>
      </c>
      <c r="Y6" s="7" t="s">
        <v>32</v>
      </c>
      <c r="Z6" s="7" t="s">
        <v>33</v>
      </c>
      <c r="AA6" s="7" t="s">
        <v>34</v>
      </c>
      <c r="AB6" s="7" t="s">
        <v>35</v>
      </c>
      <c r="AC6" s="7" t="s">
        <v>36</v>
      </c>
      <c r="AD6" s="7" t="s">
        <v>37</v>
      </c>
      <c r="AE6" s="7" t="s">
        <v>38</v>
      </c>
      <c r="AF6" s="7" t="s">
        <v>39</v>
      </c>
      <c r="AG6" s="7" t="s">
        <v>40</v>
      </c>
      <c r="AH6" s="7" t="s">
        <v>41</v>
      </c>
      <c r="AL6" s="8" t="s">
        <v>1</v>
      </c>
      <c r="AM6" s="8" t="s">
        <v>3</v>
      </c>
      <c r="AN6" s="8" t="s">
        <v>42</v>
      </c>
      <c r="AO6" s="8" t="s">
        <v>43</v>
      </c>
    </row>
    <row r="7" spans="1:41" ht="12" customHeight="1" x14ac:dyDescent="0.35">
      <c r="A7" s="9">
        <v>1</v>
      </c>
      <c r="B7" s="20">
        <v>1505</v>
      </c>
      <c r="C7" s="21" t="s">
        <v>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 t="s">
        <v>3</v>
      </c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>
        <v>1506</v>
      </c>
      <c r="C8" s="21" t="s">
        <v>69</v>
      </c>
      <c r="D8" s="8"/>
      <c r="E8" s="8"/>
      <c r="F8" s="8"/>
      <c r="G8" s="8"/>
      <c r="H8" s="8"/>
      <c r="I8" s="8"/>
      <c r="J8" s="8" t="s">
        <v>1</v>
      </c>
      <c r="K8" s="8"/>
      <c r="L8" s="8"/>
      <c r="M8" s="8"/>
      <c r="N8" s="8"/>
      <c r="O8" s="8"/>
      <c r="P8" s="8"/>
      <c r="Q8" s="8"/>
      <c r="R8" s="8" t="s">
        <v>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>
        <v>1507</v>
      </c>
      <c r="C9" s="22" t="s">
        <v>70</v>
      </c>
      <c r="D9" s="8"/>
      <c r="E9" s="8"/>
      <c r="F9" s="8"/>
      <c r="G9" s="8"/>
      <c r="H9" s="8"/>
      <c r="I9" s="8"/>
      <c r="J9" s="8" t="s">
        <v>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>
        <v>1508</v>
      </c>
      <c r="C10" s="23" t="s">
        <v>71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>
        <v>1509</v>
      </c>
      <c r="C11" s="21" t="s">
        <v>72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>
        <v>1510</v>
      </c>
      <c r="C12" s="21" t="s">
        <v>73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>
        <v>1511</v>
      </c>
      <c r="C13" s="22" t="s">
        <v>74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>
        <v>1512</v>
      </c>
      <c r="C14" s="22" t="s">
        <v>75</v>
      </c>
      <c r="D14" s="8"/>
      <c r="E14" s="8"/>
      <c r="F14" s="8"/>
      <c r="G14" s="8"/>
      <c r="H14" s="8"/>
      <c r="I14" s="8"/>
      <c r="J14" s="8"/>
      <c r="K14" s="8"/>
      <c r="L14" s="8" t="s">
        <v>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>
        <v>1513</v>
      </c>
      <c r="C15" s="21" t="s">
        <v>76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>
        <v>1514</v>
      </c>
      <c r="C16" s="22" t="s">
        <v>77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>
        <v>1515</v>
      </c>
      <c r="C17" s="21" t="s">
        <v>78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>
        <v>1516</v>
      </c>
      <c r="C18" s="21" t="s">
        <v>79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>
        <v>1517</v>
      </c>
      <c r="C19" s="22" t="s">
        <v>80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>
        <v>1518</v>
      </c>
      <c r="C20" s="22" t="s">
        <v>81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>
        <v>1519</v>
      </c>
      <c r="C21" s="21" t="s">
        <v>82</v>
      </c>
      <c r="D21" s="8"/>
      <c r="E21" s="8"/>
      <c r="F21" s="8"/>
      <c r="G21" s="8"/>
      <c r="H21" s="8"/>
      <c r="I21" s="8"/>
      <c r="J21" s="8" t="s">
        <v>1</v>
      </c>
      <c r="K21" s="8" t="s">
        <v>1</v>
      </c>
      <c r="L21" s="8" t="s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1</v>
      </c>
      <c r="X21" s="8"/>
      <c r="Y21" s="8"/>
      <c r="Z21" s="8"/>
      <c r="AA21" s="8"/>
      <c r="AB21" s="8"/>
      <c r="AC21" s="8"/>
      <c r="AD21" s="8"/>
      <c r="AE21" s="8" t="s">
        <v>3</v>
      </c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>
        <v>1520</v>
      </c>
      <c r="C22" s="22" t="s">
        <v>83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 t="s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>
        <v>1521</v>
      </c>
      <c r="C23" s="21" t="s">
        <v>84</v>
      </c>
      <c r="D23" s="8"/>
      <c r="E23" s="8"/>
      <c r="F23" s="8"/>
      <c r="G23" s="8"/>
      <c r="H23" s="8"/>
      <c r="I23" s="8"/>
      <c r="J23" s="8"/>
      <c r="K23" s="8"/>
      <c r="L23" s="8" t="s">
        <v>3</v>
      </c>
      <c r="M23" s="8"/>
      <c r="N23" s="8"/>
      <c r="O23" s="8"/>
      <c r="P23" s="8"/>
      <c r="Q23" s="8"/>
      <c r="R23" s="8" t="s">
        <v>3</v>
      </c>
      <c r="S23" s="8"/>
      <c r="T23" s="8"/>
      <c r="U23" s="8"/>
      <c r="V23" s="8"/>
      <c r="W23" s="8"/>
      <c r="X23" s="8"/>
      <c r="Y23" s="8"/>
      <c r="Z23" s="8"/>
      <c r="AA23" s="8"/>
      <c r="AB23" s="8" t="s">
        <v>1</v>
      </c>
      <c r="AC23" s="8"/>
      <c r="AD23" s="8"/>
      <c r="AE23" s="8" t="s">
        <v>1</v>
      </c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>
        <v>1522</v>
      </c>
      <c r="C24" s="24" t="s">
        <v>85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s">
        <v>1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>
        <v>1523</v>
      </c>
      <c r="C25" s="21" t="s">
        <v>86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>
        <v>1524</v>
      </c>
      <c r="C26" s="21" t="s">
        <v>87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>
        <v>1525</v>
      </c>
      <c r="C27" s="22" t="s">
        <v>88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>
        <v>1526</v>
      </c>
      <c r="C28" s="21" t="s">
        <v>89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>
        <v>1527</v>
      </c>
      <c r="C29" s="22" t="s">
        <v>90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</v>
      </c>
      <c r="O29" s="8" t="s">
        <v>1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3</v>
      </c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>
        <v>1528</v>
      </c>
      <c r="C30" s="21" t="s">
        <v>91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>
        <v>1529</v>
      </c>
      <c r="C31" s="25" t="s">
        <v>92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 t="s">
        <v>42</v>
      </c>
      <c r="S31" s="8"/>
      <c r="T31" s="8"/>
      <c r="U31" s="8"/>
      <c r="V31" s="8" t="s">
        <v>1</v>
      </c>
      <c r="W31" s="8" t="s">
        <v>1</v>
      </c>
      <c r="X31" s="8" t="s">
        <v>1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>
        <v>1530</v>
      </c>
      <c r="C32" s="22" t="s">
        <v>93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>
        <v>1531</v>
      </c>
      <c r="C33" s="21" t="s">
        <v>94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>
        <v>1532</v>
      </c>
      <c r="C34" s="21" t="s">
        <v>95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>
        <v>1533</v>
      </c>
      <c r="C35" s="22" t="s">
        <v>96</v>
      </c>
      <c r="D35" s="8"/>
      <c r="E35" s="8" t="s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 t="s">
        <v>1</v>
      </c>
      <c r="Q35" s="8"/>
      <c r="R35" s="8"/>
      <c r="S35" s="8"/>
      <c r="T35" s="8"/>
      <c r="U35" s="8"/>
      <c r="V35" s="8" t="s">
        <v>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>
        <v>1534</v>
      </c>
      <c r="C36" s="22" t="s">
        <v>97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E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tabSelected="1" workbookViewId="0">
      <selection activeCell="H11" sqref="H11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5" width="3.453125" customWidth="1"/>
    <col min="6" max="6" width="3.453125" hidden="1" customWidth="1"/>
    <col min="7" max="12" width="3.453125" customWidth="1"/>
    <col min="13" max="13" width="3.453125" hidden="1" customWidth="1"/>
    <col min="14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98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tr">
        <f>'Absen PG'!D5</f>
        <v>MEI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9</v>
      </c>
      <c r="B6" s="6" t="s">
        <v>10</v>
      </c>
      <c r="C6" s="42"/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>
        <v>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  <c r="U6" s="7" t="s">
        <v>28</v>
      </c>
      <c r="V6" s="7" t="s">
        <v>29</v>
      </c>
      <c r="W6" s="7" t="s">
        <v>30</v>
      </c>
      <c r="X6" s="7" t="s">
        <v>31</v>
      </c>
      <c r="Y6" s="7" t="s">
        <v>32</v>
      </c>
      <c r="Z6" s="7" t="s">
        <v>33</v>
      </c>
      <c r="AA6" s="7" t="s">
        <v>34</v>
      </c>
      <c r="AB6" s="7" t="s">
        <v>35</v>
      </c>
      <c r="AC6" s="7" t="s">
        <v>36</v>
      </c>
      <c r="AD6" s="7" t="s">
        <v>37</v>
      </c>
      <c r="AE6" s="7" t="s">
        <v>38</v>
      </c>
      <c r="AF6" s="7" t="s">
        <v>39</v>
      </c>
      <c r="AG6" s="7" t="s">
        <v>40</v>
      </c>
      <c r="AH6" s="7" t="s">
        <v>41</v>
      </c>
      <c r="AL6" s="8" t="s">
        <v>1</v>
      </c>
      <c r="AM6" s="8" t="s">
        <v>3</v>
      </c>
      <c r="AN6" s="8" t="s">
        <v>42</v>
      </c>
      <c r="AO6" s="8" t="s">
        <v>43</v>
      </c>
    </row>
    <row r="7" spans="1:41" ht="12" customHeight="1" x14ac:dyDescent="0.35">
      <c r="A7" s="9">
        <v>1</v>
      </c>
      <c r="B7" s="9">
        <v>1439</v>
      </c>
      <c r="C7" s="14" t="s">
        <v>99</v>
      </c>
      <c r="D7" s="8"/>
      <c r="E7" s="8"/>
      <c r="F7" s="8"/>
      <c r="G7" s="8"/>
      <c r="H7" s="8"/>
      <c r="I7" s="8"/>
      <c r="J7" s="8"/>
      <c r="K7" s="8"/>
      <c r="L7" s="8"/>
      <c r="M7" s="8"/>
      <c r="N7" s="8" t="s">
        <v>1</v>
      </c>
      <c r="O7" s="8" t="s">
        <v>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9">
        <v>1441</v>
      </c>
      <c r="C8" s="15" t="s">
        <v>100</v>
      </c>
      <c r="D8" s="8"/>
      <c r="E8" s="8" t="s">
        <v>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9">
        <v>1449</v>
      </c>
      <c r="C9" s="15" t="s">
        <v>101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9">
        <v>1450</v>
      </c>
      <c r="C10" s="16" t="s">
        <v>102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9">
        <v>1459</v>
      </c>
      <c r="C11" s="16" t="s">
        <v>103</v>
      </c>
      <c r="D11" s="8"/>
      <c r="E11" s="8"/>
      <c r="F11" s="8"/>
      <c r="G11" s="8"/>
      <c r="H11" s="8"/>
      <c r="I11" s="8"/>
      <c r="J11" s="8" t="s">
        <v>1</v>
      </c>
      <c r="K11" s="8" t="s">
        <v>1</v>
      </c>
      <c r="L11" s="8" t="s">
        <v>1</v>
      </c>
      <c r="M11" s="8"/>
      <c r="N11" s="8" t="s">
        <v>1</v>
      </c>
      <c r="O11" s="8" t="s">
        <v>1</v>
      </c>
      <c r="P11" s="8"/>
      <c r="Q11" s="8"/>
      <c r="R11" s="8" t="s">
        <v>1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>
        <v>1473</v>
      </c>
      <c r="C12" s="15" t="s">
        <v>104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>
        <v>1476</v>
      </c>
      <c r="C13" s="16" t="s">
        <v>105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>
        <v>1477</v>
      </c>
      <c r="C14" s="15" t="s">
        <v>106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>
        <v>1478</v>
      </c>
      <c r="C15" s="15" t="s">
        <v>107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>
        <v>1479</v>
      </c>
      <c r="C16" s="15" t="s">
        <v>108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>
        <v>1480</v>
      </c>
      <c r="C17" s="15" t="s">
        <v>109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>
        <v>1481</v>
      </c>
      <c r="C18" s="15" t="s">
        <v>110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>
        <v>1482</v>
      </c>
      <c r="C19" s="15" t="s">
        <v>111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>
        <v>1483</v>
      </c>
      <c r="C20" s="15" t="s">
        <v>112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>
        <v>1484</v>
      </c>
      <c r="C21" s="16" t="s">
        <v>113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 t="s">
        <v>1</v>
      </c>
      <c r="O21" s="8" t="s">
        <v>1</v>
      </c>
      <c r="P21" s="8" t="s">
        <v>1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>
        <v>1485</v>
      </c>
      <c r="C22" s="16" t="s">
        <v>114</v>
      </c>
      <c r="D22" s="8"/>
      <c r="E22" s="8" t="s">
        <v>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>
        <v>1486</v>
      </c>
      <c r="C23" s="15" t="s">
        <v>115</v>
      </c>
      <c r="D23" s="8"/>
      <c r="E23" s="8" t="s">
        <v>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</v>
      </c>
      <c r="Q23" s="8"/>
      <c r="R23" s="8" t="s">
        <v>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>
        <v>1487</v>
      </c>
      <c r="C24" s="16" t="s">
        <v>116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1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>
        <v>1488</v>
      </c>
      <c r="C25" s="14" t="s">
        <v>117</v>
      </c>
      <c r="D25" s="8"/>
      <c r="E25" s="8"/>
      <c r="F25" s="8"/>
      <c r="G25" s="8"/>
      <c r="H25" s="8"/>
      <c r="I25" s="8"/>
      <c r="J25" s="8"/>
      <c r="K25" s="8" t="s">
        <v>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 t="s">
        <v>1</v>
      </c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>
        <v>1489</v>
      </c>
      <c r="C26" s="16" t="s">
        <v>118</v>
      </c>
      <c r="D26" s="8"/>
      <c r="E26" s="8"/>
      <c r="F26" s="8"/>
      <c r="G26" s="8"/>
      <c r="H26" s="8"/>
      <c r="I26" s="8"/>
      <c r="J26" s="8" t="s">
        <v>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>
        <v>1490</v>
      </c>
      <c r="C27" s="16" t="s">
        <v>119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>
        <v>1491</v>
      </c>
      <c r="C28" s="15" t="s">
        <v>120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>
        <v>1492</v>
      </c>
      <c r="C29" s="15" t="s">
        <v>121</v>
      </c>
      <c r="D29" s="8"/>
      <c r="E29" s="8" t="s">
        <v>3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>
        <v>1493</v>
      </c>
      <c r="C30" s="15" t="s">
        <v>122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123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>
        <v>1494</v>
      </c>
      <c r="C31" s="16" t="s">
        <v>124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>
        <v>1495</v>
      </c>
      <c r="C32" s="16" t="s">
        <v>125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>
        <v>1496</v>
      </c>
      <c r="C33" s="15" t="s">
        <v>126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>
        <v>1497</v>
      </c>
      <c r="C34" s="16" t="s">
        <v>127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>
        <v>1498</v>
      </c>
      <c r="C35" s="14" t="s">
        <v>128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 t="s">
        <v>3</v>
      </c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>
        <v>1499</v>
      </c>
      <c r="C36" s="16" t="s">
        <v>129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 t="s">
        <v>3</v>
      </c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>
        <v>1500</v>
      </c>
      <c r="C37" s="16" t="s">
        <v>130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 t="s">
        <v>1</v>
      </c>
      <c r="O37" s="8" t="s">
        <v>1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>
        <v>1501</v>
      </c>
      <c r="C38" s="16" t="s">
        <v>131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>
        <v>1502</v>
      </c>
      <c r="C39" s="15" t="s">
        <v>132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>
        <v>1503</v>
      </c>
      <c r="C40" s="18" t="s">
        <v>133</v>
      </c>
      <c r="D40" s="8"/>
      <c r="E40" s="8"/>
      <c r="F40" s="8"/>
      <c r="G40" s="8"/>
      <c r="H40" s="8"/>
      <c r="I40" s="8"/>
      <c r="J40" s="8" t="s">
        <v>1</v>
      </c>
      <c r="K40" s="8" t="s">
        <v>1</v>
      </c>
      <c r="L40" s="8" t="s">
        <v>1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>
        <v>1504</v>
      </c>
      <c r="C41" s="14" t="s">
        <v>134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>
        <v>1535</v>
      </c>
      <c r="C42" s="16" t="s">
        <v>135</v>
      </c>
      <c r="D42" s="8"/>
      <c r="E42" s="8"/>
      <c r="F42" s="8"/>
      <c r="G42" s="8"/>
      <c r="H42" s="8" t="s">
        <v>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 t="s">
        <v>136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>
      <c r="Q55" t="s">
        <v>1</v>
      </c>
      <c r="R55" t="s">
        <v>1</v>
      </c>
      <c r="S55" t="s">
        <v>1</v>
      </c>
    </row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2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workbookViewId="0">
      <selection activeCell="D6" sqref="D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5" width="3.453125" customWidth="1"/>
    <col min="6" max="6" width="3.453125" hidden="1" customWidth="1"/>
    <col min="7" max="12" width="3.453125" customWidth="1"/>
    <col min="13" max="13" width="3.453125" hidden="1" customWidth="1"/>
    <col min="14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137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tr">
        <f>'Absen PG'!D5</f>
        <v>MEI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9</v>
      </c>
      <c r="B6" s="6" t="s">
        <v>10</v>
      </c>
      <c r="C6" s="42"/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  <c r="U6" s="7" t="s">
        <v>28</v>
      </c>
      <c r="V6" s="7" t="s">
        <v>29</v>
      </c>
      <c r="W6" s="7" t="s">
        <v>30</v>
      </c>
      <c r="X6" s="7" t="s">
        <v>31</v>
      </c>
      <c r="Y6" s="7" t="s">
        <v>32</v>
      </c>
      <c r="Z6" s="7" t="s">
        <v>33</v>
      </c>
      <c r="AA6" s="7" t="s">
        <v>34</v>
      </c>
      <c r="AB6" s="7" t="s">
        <v>35</v>
      </c>
      <c r="AC6" s="7" t="s">
        <v>36</v>
      </c>
      <c r="AD6" s="7" t="s">
        <v>37</v>
      </c>
      <c r="AE6" s="7" t="s">
        <v>38</v>
      </c>
      <c r="AF6" s="7" t="s">
        <v>39</v>
      </c>
      <c r="AG6" s="7" t="s">
        <v>40</v>
      </c>
      <c r="AH6" s="7" t="s">
        <v>41</v>
      </c>
      <c r="AL6" s="8" t="s">
        <v>1</v>
      </c>
      <c r="AM6" s="8" t="s">
        <v>3</v>
      </c>
      <c r="AN6" s="8" t="s">
        <v>42</v>
      </c>
      <c r="AO6" s="8" t="s">
        <v>43</v>
      </c>
    </row>
    <row r="7" spans="1:41" ht="12" customHeight="1" x14ac:dyDescent="0.35">
      <c r="A7" s="9">
        <v>1</v>
      </c>
      <c r="B7" s="28">
        <v>1386</v>
      </c>
      <c r="C7" s="29" t="s">
        <v>138</v>
      </c>
      <c r="D7" s="8"/>
      <c r="E7" s="8"/>
      <c r="F7" s="8"/>
      <c r="G7" s="8"/>
      <c r="H7" s="8"/>
      <c r="I7" s="8"/>
      <c r="J7" s="8" t="s">
        <v>3</v>
      </c>
      <c r="K7" s="8"/>
      <c r="L7" s="8"/>
      <c r="M7" s="8"/>
      <c r="N7" s="8"/>
      <c r="O7" s="8"/>
      <c r="P7" s="8"/>
      <c r="Q7" s="8"/>
      <c r="R7" s="19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8">
        <v>1428</v>
      </c>
      <c r="C8" s="30" t="s">
        <v>139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8">
        <v>1429</v>
      </c>
      <c r="C9" s="31" t="s">
        <v>140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8">
        <v>1430</v>
      </c>
      <c r="C10" s="32" t="s">
        <v>141</v>
      </c>
      <c r="D10" s="8"/>
      <c r="E10" s="8"/>
      <c r="F10" s="8"/>
      <c r="G10" s="8" t="s">
        <v>1</v>
      </c>
      <c r="H10" s="8"/>
      <c r="I10" s="8"/>
      <c r="J10" s="8" t="s">
        <v>1</v>
      </c>
      <c r="K10" s="8"/>
      <c r="L10" s="8"/>
      <c r="M10" s="8"/>
      <c r="N10" s="8"/>
      <c r="O10" s="8"/>
      <c r="P10" s="8" t="s">
        <v>1</v>
      </c>
      <c r="Q10" s="8"/>
      <c r="R10" s="8"/>
      <c r="S10" s="8"/>
      <c r="T10" s="8"/>
      <c r="U10" s="8"/>
      <c r="V10" s="8" t="s">
        <v>1</v>
      </c>
      <c r="W10" s="8"/>
      <c r="X10" s="8" t="s">
        <v>1</v>
      </c>
      <c r="Y10" s="8"/>
      <c r="Z10" s="8"/>
      <c r="AA10" s="8"/>
      <c r="AB10" s="8"/>
      <c r="AC10" s="8"/>
      <c r="AD10" s="8"/>
      <c r="AE10" s="8" t="s">
        <v>1</v>
      </c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8">
        <v>1432</v>
      </c>
      <c r="C11" s="31" t="s">
        <v>142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">
        <v>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>
        <v>1433</v>
      </c>
      <c r="C12" s="29" t="s">
        <v>143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>
        <v>1435</v>
      </c>
      <c r="C13" s="31" t="s">
        <v>144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 t="s">
        <v>1</v>
      </c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>
        <v>1436</v>
      </c>
      <c r="C14" s="29" t="s">
        <v>145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>
        <v>1437</v>
      </c>
      <c r="C15" s="31" t="s">
        <v>146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>
        <v>1438</v>
      </c>
      <c r="C16" s="31" t="s">
        <v>147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>
        <v>1440</v>
      </c>
      <c r="C17" s="29" t="s">
        <v>148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>
        <v>1442</v>
      </c>
      <c r="C18" s="31" t="s">
        <v>149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>
        <v>1443</v>
      </c>
      <c r="C19" s="29" t="s">
        <v>150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>
        <v>1444</v>
      </c>
      <c r="C20" s="31" t="s">
        <v>151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1</v>
      </c>
      <c r="W20" s="8"/>
      <c r="X20" s="8"/>
      <c r="Y20" s="8"/>
      <c r="Z20" s="8"/>
      <c r="AA20" s="8"/>
      <c r="AB20" s="8" t="s">
        <v>1</v>
      </c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>
        <v>1445</v>
      </c>
      <c r="C21" s="24" t="s">
        <v>152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>
        <v>1446</v>
      </c>
      <c r="C22" s="33" t="s">
        <v>153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>
        <v>1447</v>
      </c>
      <c r="C23" s="29" t="s">
        <v>154</v>
      </c>
      <c r="D23" s="8"/>
      <c r="E23" s="8"/>
      <c r="F23" s="8"/>
      <c r="G23" s="8"/>
      <c r="H23" s="8"/>
      <c r="I23" s="8"/>
      <c r="J23" s="8"/>
      <c r="K23" s="8" t="s">
        <v>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>
        <v>1448</v>
      </c>
      <c r="C24" s="29" t="s">
        <v>155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 t="s">
        <v>1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>
        <v>1451</v>
      </c>
      <c r="C25" s="29" t="s">
        <v>156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>
        <v>1452</v>
      </c>
      <c r="C26" s="31" t="s">
        <v>157</v>
      </c>
      <c r="D26" s="8"/>
      <c r="E26" s="8"/>
      <c r="F26" s="8"/>
      <c r="G26" s="8"/>
      <c r="H26" s="8"/>
      <c r="I26" s="8"/>
      <c r="J26" s="8"/>
      <c r="K26" s="8"/>
      <c r="L26" s="8" t="s">
        <v>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>
        <v>1453</v>
      </c>
      <c r="C27" s="29" t="s">
        <v>158</v>
      </c>
      <c r="D27" s="8"/>
      <c r="E27" s="8"/>
      <c r="F27" s="8"/>
      <c r="G27" s="8" t="s">
        <v>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>
        <v>1454</v>
      </c>
      <c r="C28" s="29" t="s">
        <v>159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1</v>
      </c>
      <c r="W28" s="8"/>
      <c r="X28" s="8"/>
      <c r="Y28" s="8"/>
      <c r="Z28" s="8"/>
      <c r="AA28" s="8"/>
      <c r="AB28" s="8"/>
      <c r="AC28" s="8"/>
      <c r="AD28" s="8"/>
      <c r="AE28" s="8" t="s">
        <v>1</v>
      </c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>
        <v>1455</v>
      </c>
      <c r="C29" s="29" t="s">
        <v>160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>
        <v>1456</v>
      </c>
      <c r="C30" s="31" t="s">
        <v>161</v>
      </c>
      <c r="D30" s="8"/>
      <c r="E30" s="8"/>
      <c r="F30" s="8"/>
      <c r="G30" s="8"/>
      <c r="H30" s="8"/>
      <c r="I30" s="8"/>
      <c r="J30" s="8"/>
      <c r="K30" s="8"/>
      <c r="L30" s="8" t="s">
        <v>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>
        <v>1457</v>
      </c>
      <c r="C31" s="29" t="s">
        <v>162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>
        <v>1458</v>
      </c>
      <c r="C32" s="29" t="s">
        <v>163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>
        <v>1461</v>
      </c>
      <c r="C33" s="34" t="s">
        <v>164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>
        <v>1462</v>
      </c>
      <c r="C34" s="29" t="s">
        <v>165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 t="s">
        <v>1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>
        <v>1463</v>
      </c>
      <c r="C35" s="29" t="s">
        <v>166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>
        <v>1465</v>
      </c>
      <c r="C36" s="29" t="s">
        <v>167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>
        <v>1466</v>
      </c>
      <c r="C37" s="29" t="s">
        <v>168</v>
      </c>
      <c r="D37" s="8"/>
      <c r="E37" s="8" t="s">
        <v>1</v>
      </c>
      <c r="F37" s="8"/>
      <c r="G37" s="8"/>
      <c r="H37" s="8"/>
      <c r="I37" s="8"/>
      <c r="J37" s="8"/>
      <c r="K37" s="8"/>
      <c r="L37" s="8" t="s">
        <v>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>
        <v>1468</v>
      </c>
      <c r="C38" s="29" t="s">
        <v>169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>
        <v>1470</v>
      </c>
      <c r="C39" s="31" t="s">
        <v>170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>
        <v>1471</v>
      </c>
      <c r="C40" s="31" t="s">
        <v>171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>
        <v>1472</v>
      </c>
      <c r="C41" s="29" t="s">
        <v>172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>
        <v>1475</v>
      </c>
      <c r="C42" s="29" t="s">
        <v>173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3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2026-05-28T03:55:12Z</dcterms:modified>
</cp:coreProperties>
</file>