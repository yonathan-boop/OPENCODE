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2" autoFilterDateGrouping="1"/>
  </bookViews>
  <sheets>
    <sheet xmlns:r="http://schemas.openxmlformats.org/officeDocument/2006/relationships" name="Absen PG" sheetId="1" state="visible" r:id="rId1"/>
    <sheet xmlns:r="http://schemas.openxmlformats.org/officeDocument/2006/relationships" name="TKa" sheetId="2" state="visible" r:id="rId2"/>
    <sheet xmlns:r="http://schemas.openxmlformats.org/officeDocument/2006/relationships" name="TKB1" sheetId="3" state="visible" r:id="rId3"/>
    <sheet xmlns:r="http://schemas.openxmlformats.org/officeDocument/2006/relationships" name="TKB(2)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Tahoma"/>
      <family val="2"/>
      <b val="1"/>
      <color theme="1"/>
      <sz val="16"/>
    </font>
    <font>
      <name val="Tahoma"/>
      <family val="2"/>
      <color theme="1"/>
      <sz val="11"/>
    </font>
    <font>
      <name val="Tahoma"/>
      <family val="2"/>
      <color rgb="FF000000"/>
      <sz val="11"/>
    </font>
    <font>
      <name val="Tahoma"/>
      <family val="2"/>
      <b val="1"/>
      <color theme="1"/>
      <sz val="14"/>
    </font>
    <font>
      <name val="Calibri"/>
      <family val="2"/>
      <color theme="1"/>
      <sz val="11"/>
    </font>
    <font>
      <name val="Tahoma"/>
      <family val="2"/>
      <b val="1"/>
      <color theme="1"/>
      <sz val="11"/>
    </font>
    <font>
      <name val="Tahoma"/>
      <family val="2"/>
      <b val="1"/>
      <i val="1"/>
      <color theme="1"/>
      <sz val="11"/>
    </font>
    <font>
      <name val="Tahoma"/>
      <family val="2"/>
      <color theme="1"/>
      <sz val="9"/>
    </font>
    <font>
      <name val="Tahoma"/>
      <family val="2"/>
      <color theme="1"/>
      <sz val="10"/>
    </font>
    <font>
      <name val="Calibri"/>
      <family val="2"/>
      <color rgb="FF000000"/>
      <sz val="11"/>
    </font>
    <font>
      <name val="Tahoma"/>
      <family val="2"/>
      <sz val="11"/>
    </font>
    <font>
      <name val="Arial"/>
      <family val="2"/>
      <sz val="10"/>
    </font>
    <font>
      <name val="Calibri"/>
      <family val="2"/>
      <color rgb="FF00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3F3F3F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2" fillId="0" borderId="0"/>
    <xf numFmtId="0" fontId="13" fillId="0" borderId="0"/>
  </cellStyleXfs>
  <cellXfs count="4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2" borderId="3" applyAlignment="1" pivotButton="0" quotePrefix="0" xfId="0">
      <alignment horizontal="center" vertical="center"/>
    </xf>
    <xf numFmtId="49" fontId="8" fillId="2" borderId="3" applyAlignment="1" pivotButton="0" quotePrefix="0" xfId="0">
      <alignment horizontal="center" vertical="center"/>
    </xf>
    <xf numFmtId="0" fontId="5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/>
    </xf>
    <xf numFmtId="0" fontId="9" fillId="0" borderId="3" applyAlignment="1" pivotButton="0" quotePrefix="0" xfId="0">
      <alignment vertical="center" shrinkToFit="1"/>
    </xf>
    <xf numFmtId="0" fontId="5" fillId="3" borderId="3" pivotButton="0" quotePrefix="0" xfId="0"/>
    <xf numFmtId="0" fontId="10" fillId="0" borderId="0" applyAlignment="1" pivotButton="0" quotePrefix="0" xfId="0">
      <alignment horizontal="right"/>
    </xf>
    <xf numFmtId="0" fontId="3" fillId="0" borderId="3" applyAlignment="1" pivotButton="0" quotePrefix="0" xfId="0">
      <alignment vertical="center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5" fillId="4" borderId="3" pivotButton="0" quotePrefix="0" xfId="0"/>
    <xf numFmtId="0" fontId="2" fillId="0" borderId="6" applyAlignment="1" pivotButton="0" quotePrefix="1" xfId="0">
      <alignment horizontal="center" vertical="center"/>
    </xf>
    <xf numFmtId="0" fontId="11" fillId="0" borderId="6" applyAlignment="1" pivotButton="0" quotePrefix="0" xfId="0">
      <alignment horizontal="left" vertical="center"/>
    </xf>
    <xf numFmtId="0" fontId="11" fillId="0" borderId="6" applyAlignment="1" pivotButton="0" quotePrefix="0" xfId="0">
      <alignment vertical="center"/>
    </xf>
    <xf numFmtId="0" fontId="11" fillId="0" borderId="6" applyAlignment="1" pivotButton="0" quotePrefix="0" xfId="1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6" applyAlignment="1" pivotButton="0" quotePrefix="0" xfId="0">
      <alignment vertical="center"/>
    </xf>
    <xf numFmtId="0" fontId="11" fillId="5" borderId="6" applyAlignment="1" pivotButton="0" quotePrefix="0" xfId="0">
      <alignment vertical="center"/>
    </xf>
    <xf numFmtId="0" fontId="11" fillId="5" borderId="6" applyAlignment="1" pivotButton="0" quotePrefix="0" xfId="0">
      <alignment horizontal="left" vertical="center"/>
    </xf>
    <xf numFmtId="0" fontId="2" fillId="0" borderId="6" applyAlignment="1" pivotButton="0" quotePrefix="0" xfId="2">
      <alignment horizontal="center" vertical="center"/>
    </xf>
    <xf numFmtId="0" fontId="2" fillId="0" borderId="6" applyAlignment="1" pivotButton="0" quotePrefix="0" xfId="2">
      <alignment vertical="center"/>
    </xf>
    <xf numFmtId="0" fontId="2" fillId="0" borderId="7" applyAlignment="1" pivotButton="0" quotePrefix="0" xfId="2">
      <alignment vertical="center"/>
    </xf>
    <xf numFmtId="0" fontId="2" fillId="0" borderId="6" applyAlignment="1" pivotButton="0" quotePrefix="0" xfId="2">
      <alignment horizontal="left" vertical="center"/>
    </xf>
    <xf numFmtId="0" fontId="2" fillId="0" borderId="7" applyAlignment="1" pivotButton="0" quotePrefix="0" xfId="2">
      <alignment horizontal="left" vertical="center"/>
    </xf>
    <xf numFmtId="0" fontId="11" fillId="0" borderId="6" applyAlignment="1" pivotButton="0" quotePrefix="0" xfId="2">
      <alignment vertical="center"/>
    </xf>
    <xf numFmtId="0" fontId="3" fillId="0" borderId="6" applyAlignment="1" pivotButton="0" quotePrefix="0" xfId="2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  <xf numFmtId="0" fontId="6" fillId="2" borderId="5" applyAlignment="1" pivotButton="0" quotePrefix="0" xfId="0">
      <alignment horizontal="center" vertical="center"/>
    </xf>
    <xf numFmtId="0" fontId="0" fillId="0" borderId="4" pivotButton="0" quotePrefix="0" xfId="0"/>
  </cellXfs>
  <cellStyles count="3">
    <cellStyle name="Normal" xfId="0" builtinId="0"/>
    <cellStyle name="Normal 3" xfId="1"/>
    <cellStyle name="Normal 4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workbookViewId="0">
      <selection activeCell="V1" sqref="V1:V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5" customWidth="1" style="36" min="4" max="16"/>
    <col width="3.5" customWidth="1" style="36" min="5" max="5"/>
    <col hidden="1" width="3.5" customWidth="1" style="36" min="6" max="6"/>
    <col width="3.5" customWidth="1" style="36" min="7" max="7"/>
    <col width="3.5" customWidth="1" style="36" min="8" max="8"/>
    <col width="3.5" customWidth="1" style="36" min="9" max="9"/>
    <col width="3.5" customWidth="1" style="36" min="10" max="10"/>
    <col width="3.5" customWidth="1" style="36" min="11" max="11"/>
    <col width="3.5" customWidth="1" style="36" min="12" max="12"/>
    <col hidden="1" width="3.5" customWidth="1" style="36" min="13" max="13"/>
    <col width="3.5" customWidth="1" style="36" min="14" max="14"/>
    <col width="3.5" customWidth="1" style="36" min="15" max="15"/>
    <col width="3.5" customWidth="1" style="36" min="16" max="16"/>
    <col hidden="1" width="3.5" customWidth="1" style="36" min="17" max="21"/>
    <col width="3.5" customWidth="1" style="36" min="18" max="18"/>
    <col width="3.5" customWidth="1" style="36" min="19" max="19"/>
    <col hidden="1" width="3.5" customWidth="1" style="36" min="20" max="20"/>
    <col width="3.5" customWidth="1" style="36" min="21" max="21"/>
    <col width="3.5" customWidth="1" style="36" min="22" max="22"/>
    <col width="3.5" customWidth="1" style="36" min="23" max="34"/>
    <col width="3.5" customWidth="1" style="36" min="24" max="24"/>
    <col width="3.5" customWidth="1" style="36" min="25" max="25"/>
    <col width="3.5" customWidth="1" style="36" min="26" max="26"/>
    <col hidden="1" width="3.5" customWidth="1" style="36" min="27" max="27"/>
    <col width="3.5" customWidth="1" style="36" min="28" max="28"/>
    <col width="3.5" customWidth="1" style="36" min="29" max="29"/>
    <col hidden="1" width="3.5" customWidth="1" style="36" min="30" max="30"/>
    <col width="3.5" customWidth="1" style="36" min="31" max="31"/>
    <col width="3.5" customWidth="1" style="36" min="32" max="32"/>
    <col width="3.5" customWidth="1" style="36" min="33" max="33"/>
    <col hidden="1" width="3.5" customWidth="1" style="36" min="34" max="34"/>
    <col width="8.7265625" customWidth="1" style="36" min="35" max="37"/>
    <col width="13" customWidth="1" style="36" min="36" max="36"/>
    <col width="13" customWidth="1" style="36" min="37" max="37"/>
    <col width="5.54296875" customWidth="1" style="36" min="38" max="41"/>
    <col width="13" customWidth="1" style="36" min="39" max="39"/>
    <col width="13" customWidth="1" style="36" min="40" max="40"/>
    <col width="13" customWidth="1" style="36" min="41" max="41"/>
    <col width="13" customWidth="1" style="36" min="42" max="42"/>
    <col width="13" customWidth="1" style="36" min="43" max="43"/>
    <col width="13" customWidth="1" style="36" min="44" max="44"/>
    <col width="13" customWidth="1" style="36" min="45" max="45"/>
    <col width="13" customWidth="1" style="36" min="46" max="46"/>
    <col width="13" customWidth="1" style="36" min="47" max="47"/>
    <col width="13" customWidth="1" style="36" min="48" max="48"/>
    <col width="13" customWidth="1" style="36" min="49" max="49"/>
  </cols>
  <sheetData>
    <row r="1" ht="14.25" customHeight="1" s="36">
      <c r="A1" s="35" t="inlineStr">
        <is>
          <t xml:space="preserve">               TK SWASTA METHODIST-11</t>
        </is>
      </c>
      <c r="Q1" s="1" t="n"/>
      <c r="R1" s="1" t="n"/>
      <c r="S1" s="1" t="inlineStr">
        <is>
          <t>S</t>
        </is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2025/2026</t>
        </is>
      </c>
      <c r="Q2" s="1" t="n"/>
      <c r="R2" s="1" t="n"/>
      <c r="S2" s="1" t="n"/>
      <c r="T2" s="1" t="inlineStr">
        <is>
          <t>I</t>
        </is>
      </c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PG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April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inlineStr">
        <is>
          <t>0221</t>
        </is>
      </c>
      <c r="C7" s="24" t="inlineStr">
        <is>
          <t>Edbert Reynaldo Lim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inlineStr">
        <is>
          <t>0228</t>
        </is>
      </c>
      <c r="C8" s="26" t="inlineStr">
        <is>
          <t>Axelle Tiandra Ong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inlineStr">
        <is>
          <t>0229</t>
        </is>
      </c>
      <c r="C9" s="26" t="inlineStr">
        <is>
          <t>Carencya Chailinskie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inlineStr">
        <is>
          <t>0230</t>
        </is>
      </c>
      <c r="C10" s="27" t="inlineStr">
        <is>
          <t xml:space="preserve">Evano Ryu Tanzil 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inlineStr">
        <is>
          <t>0231</t>
        </is>
      </c>
      <c r="C11" s="27" t="inlineStr">
        <is>
          <t>Gareth Grealish Dharmawan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inlineStr">
        <is>
          <t>0232</t>
        </is>
      </c>
      <c r="C12" s="25" t="inlineStr">
        <is>
          <t>Joverick Walton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inlineStr">
        <is>
          <t>I</t>
        </is>
      </c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inlineStr">
        <is>
          <t>0233</t>
        </is>
      </c>
      <c r="C13" s="27" t="inlineStr">
        <is>
          <t>Kaylyn Gavril Winlie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inlineStr">
        <is>
          <t>0234</t>
        </is>
      </c>
      <c r="C14" s="27" t="inlineStr">
        <is>
          <t>Rachel Crystaline Benyamin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inlineStr">
        <is>
          <t>0235</t>
        </is>
      </c>
      <c r="C15" s="27" t="inlineStr">
        <is>
          <t>Rachel Veisya Chan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inlineStr">
        <is>
          <t>0236</t>
        </is>
      </c>
      <c r="C16" s="27" t="inlineStr">
        <is>
          <t>Rachellyn Gracia Chindra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inlineStr">
        <is>
          <t>0237</t>
        </is>
      </c>
      <c r="C17" s="26" t="inlineStr">
        <is>
          <t>Roderick Yang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/>
      <c r="C18" s="27" t="inlineStr">
        <is>
          <t>Elvano Leonardi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0">
        <f>IFERROR(VLOOKUP(A19&amp;$AJ$2,#REF!,4,FALSE), "")</f>
        <v/>
      </c>
      <c r="C19" s="11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10">
        <f>IFERROR(VLOOKUP(A20&amp;$AJ$2,#REF!,4,FALSE), "")</f>
        <v/>
      </c>
      <c r="C20" s="11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0">
        <f>IFERROR(VLOOKUP(A21&amp;$AJ$2,#REF!,4,FALSE), "")</f>
        <v/>
      </c>
      <c r="C21" s="11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10">
        <f>IFERROR(VLOOKUP(A22&amp;$AJ$2,#REF!,4,FALSE), "")</f>
        <v/>
      </c>
      <c r="C22" s="11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0">
        <f>IFERROR(VLOOKUP(A23&amp;$AJ$2,#REF!,4,FALSE), "")</f>
        <v/>
      </c>
      <c r="C23" s="11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10">
        <f>IFERROR(VLOOKUP(A24&amp;$AJ$2,#REF!,4,FALSE), "")</f>
        <v/>
      </c>
      <c r="C24" s="11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0">
        <f>IFERROR(VLOOKUP(A25&amp;$AJ$2,#REF!,4,FALSE), "")</f>
        <v/>
      </c>
      <c r="C25" s="11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10">
        <f>IFERROR(VLOOKUP(A26&amp;$AJ$2,#REF!,4,FALSE), "")</f>
        <v/>
      </c>
      <c r="C26" s="11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0">
        <f>IFERROR(VLOOKUP(A27&amp;$AJ$2,#REF!,4,FALSE), "")</f>
        <v/>
      </c>
      <c r="C27" s="11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10">
        <f>IFERROR(VLOOKUP(A28&amp;$AJ$2,#REF!,4,FALSE), "")</f>
        <v/>
      </c>
      <c r="C28" s="11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0">
        <f>IFERROR(VLOOKUP(A29&amp;$AJ$2,#REF!,4,FALSE), "")</f>
        <v/>
      </c>
      <c r="C29" s="11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10">
        <f>IFERROR(VLOOKUP(A30&amp;$AJ$2,#REF!,4,FALSE), "")</f>
        <v/>
      </c>
      <c r="C30" s="11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0">
        <f>IFERROR(VLOOKUP(A31&amp;$AJ$2,#REF!,4,FALSE), "")</f>
        <v/>
      </c>
      <c r="C31" s="11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10">
        <f>IFERROR(VLOOKUP(A32&amp;$AJ$2,#REF!,4,FALSE), "")</f>
        <v/>
      </c>
      <c r="C32" s="11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0">
        <f>IFERROR(VLOOKUP(A33&amp;$AJ$2,#REF!,4,FALSE), "")</f>
        <v/>
      </c>
      <c r="C33" s="11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10">
        <f>IFERROR(VLOOKUP(A34&amp;$AJ$2,#REF!,4,FALSE), "")</f>
        <v/>
      </c>
      <c r="C34" s="11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0">
        <f>IFERROR(VLOOKUP(A35&amp;$AJ$2,#REF!,4,FALSE), "")</f>
        <v/>
      </c>
      <c r="C35" s="11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10">
        <f>IFERROR(VLOOKUP(A36&amp;$AJ$2,#REF!,4,FALSE), "")</f>
        <v/>
      </c>
      <c r="C36" s="11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>
        <f>IFERROR(VLOOKUP(A37&amp;$AJ$2,#REF!,4,FALSE), "")</f>
        <v/>
      </c>
      <c r="C37" s="11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>
        <f>IFERROR(VLOOKUP(A38&amp;$AJ$2,#REF!,4,FALSE), "")</f>
        <v/>
      </c>
      <c r="C38" s="11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>
        <f>IFERROR(VLOOKUP(A39&amp;$AJ$2,#REF!,4,FALSE), "")</f>
        <v/>
      </c>
      <c r="C39" s="1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>
        <f>IFERROR(VLOOKUP(A40&amp;$AJ$2,#REF!,4,FALSE), "")</f>
        <v/>
      </c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>
        <f>IFERROR(VLOOKUP(A41&amp;$AJ$2,#REF!,4,FALSE), "")</f>
        <v/>
      </c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>
        <f>IFERROR(VLOOKUP(A42&amp;$AJ$2,#REF!,4,FALSE), "")</f>
        <v/>
      </c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>
        <f>IFERROR(VLOOKUP(A43&amp;$AJ$2,#REF!,4,FALSE), "")</f>
        <v/>
      </c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>
        <f>IFERROR(VLOOKUP(A44&amp;$AJ$2,#REF!,4,FALSE), "")</f>
        <v/>
      </c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>
        <f>IFERROR(VLOOKUP(A45&amp;$AJ$2,#REF!,4,FALSE), "")</f>
        <v/>
      </c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>
        <f>IFERROR(VLOOKUP(A46&amp;$AJ$2,#REF!,4,FALSE), "")</f>
        <v/>
      </c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>
      <c r="B47">
        <f>IFERROR(VLOOKUP(A47&amp;$AJ$2,#REF!,4,FALSE), "")</f>
        <v/>
      </c>
    </row>
    <row r="48" ht="14.25" customHeight="1" s="36">
      <c r="B48">
        <f>IFERROR(VLOOKUP(A48&amp;$AJ$2,#REF!,4,FALSE), "")</f>
        <v/>
      </c>
      <c r="C48" s="3" t="inlineStr">
        <is>
          <t>S</t>
        </is>
      </c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  <c r="AE48" s="13" t="n"/>
      <c r="AF48" s="13" t="n"/>
      <c r="AG48" s="13" t="n"/>
      <c r="AH48" s="13" t="n"/>
      <c r="AI48" s="13" t="n"/>
    </row>
    <row r="49" ht="14.25" customHeight="1" s="36">
      <c r="B49">
        <f>IFERROR(VLOOKUP(A49&amp;$AJ$2,#REF!,4,FALSE), "")</f>
        <v/>
      </c>
      <c r="C49" s="3" t="inlineStr">
        <is>
          <t>I</t>
        </is>
      </c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  <c r="AI49" s="13" t="n"/>
    </row>
    <row r="50" ht="14.25" customHeight="1" s="36">
      <c r="C50" s="3" t="inlineStr">
        <is>
          <t>A</t>
        </is>
      </c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  <c r="AI50" s="13" t="n"/>
    </row>
    <row r="51" ht="14.25" customHeight="1" s="36"/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1">
    <dataValidation sqref="D7:AH13 D14:AI14 D15:AH46" showDropDown="0" showInputMessage="0" showErrorMessage="1" allowBlank="1" type="list">
      <formula1>$AK$7:$AK$10</formula1>
    </dataValidation>
  </dataValidations>
  <pageMargins left="0.3" right="0.3" top="0.3" bottom="0.3" header="0" footer="0"/>
  <pageSetup orientation="landscape" paperSize="14" scale="9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selection activeCell="V1" sqref="V1:V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5" customWidth="1" style="36" min="4" max="9"/>
    <col width="3.5" customWidth="1" style="36" min="5" max="5"/>
    <col hidden="1" width="3.5" customWidth="1" style="36" min="6" max="6"/>
    <col width="3.5" customWidth="1" style="36" min="7" max="7"/>
    <col width="3.5" customWidth="1" style="36" min="8" max="8"/>
    <col width="3.5" customWidth="1" style="36" min="9" max="9"/>
    <col width="3.5" customWidth="1" style="36" min="10" max="11"/>
    <col width="3.5" customWidth="1" style="36" min="11" max="11"/>
    <col width="3.5" customWidth="1" style="36" min="12" max="16"/>
    <col hidden="1" width="3.5" customWidth="1" style="36" min="13" max="13"/>
    <col width="3.5" customWidth="1" style="36" min="14" max="14"/>
    <col width="3.5" customWidth="1" style="36" min="15" max="15"/>
    <col width="3.5" customWidth="1" style="36" min="16" max="16"/>
    <col hidden="1" width="3.5" customWidth="1" style="36" min="17" max="21"/>
    <col width="3.5" customWidth="1" style="36" min="18" max="18"/>
    <col width="3.5" customWidth="1" style="36" min="19" max="19"/>
    <col hidden="1" width="3.5" customWidth="1" style="36" min="20" max="20"/>
    <col width="3.5" customWidth="1" style="36" min="21" max="21"/>
    <col width="3.5" customWidth="1" style="36" min="22" max="22"/>
    <col width="3.5" customWidth="1" style="36" min="23" max="34"/>
    <col width="3.5" customWidth="1" style="36" min="24" max="24"/>
    <col width="3.5" customWidth="1" style="36" min="25" max="25"/>
    <col width="3.5" customWidth="1" style="36" min="26" max="26"/>
    <col hidden="1" width="3.5" customWidth="1" style="36" min="27" max="27"/>
    <col width="3.5" customWidth="1" style="36" min="28" max="28"/>
    <col width="3.5" customWidth="1" style="36" min="29" max="29"/>
    <col hidden="1" width="3.5" customWidth="1" style="36" min="30" max="30"/>
    <col width="3.5" customWidth="1" style="36" min="31" max="31"/>
    <col width="3.5" customWidth="1" style="36" min="32" max="32"/>
    <col width="3.5" customWidth="1" style="36" min="33" max="33"/>
    <col hidden="1" width="3.5" customWidth="1" style="36" min="34" max="34"/>
    <col width="8.7265625" customWidth="1" style="36" min="35" max="37"/>
    <col width="13" customWidth="1" style="36" min="36" max="36"/>
    <col width="13" customWidth="1" style="36" min="37" max="37"/>
    <col width="5.54296875" customWidth="1" style="36" min="38" max="41"/>
    <col width="13" customWidth="1" style="36" min="39" max="39"/>
    <col width="13" customWidth="1" style="36" min="40" max="40"/>
    <col width="13" customWidth="1" style="36" min="41" max="41"/>
    <col width="13" customWidth="1" style="36" min="42" max="42"/>
    <col width="13" customWidth="1" style="36" min="43" max="43"/>
    <col width="13" customWidth="1" style="36" min="44" max="44"/>
    <col width="13" customWidth="1" style="36" min="45" max="45"/>
    <col width="13" customWidth="1" style="36" min="46" max="46"/>
    <col width="13" customWidth="1" style="36" min="47" max="47"/>
    <col width="13" customWidth="1" style="36" min="48" max="48"/>
    <col width="13" customWidth="1" style="36" min="4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2025/2026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TKA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April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n">
        <v>8</v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n">
        <v>1505</v>
      </c>
      <c r="C7" s="21" t="inlineStr">
        <is>
          <t>Aldrich Bona Munson Nababan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inlineStr">
        <is>
          <t>I</t>
        </is>
      </c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>
        <v>1506</v>
      </c>
      <c r="C8" s="21" t="inlineStr">
        <is>
          <t>Azka Andreas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inlineStr">
        <is>
          <t>S</t>
        </is>
      </c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>
        <v>1507</v>
      </c>
      <c r="C9" s="22" t="inlineStr">
        <is>
          <t>Celine Grace Zhang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>
        <v>1508</v>
      </c>
      <c r="C10" s="23" t="inlineStr">
        <is>
          <t>Clarence Queenicca Zhang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>
        <v>1509</v>
      </c>
      <c r="C11" s="21" t="inlineStr">
        <is>
          <t>Clarissa Jovanka Sugiharto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>
        <v>1510</v>
      </c>
      <c r="C12" s="21" t="inlineStr">
        <is>
          <t>Clarissa Lim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>
        <v>1511</v>
      </c>
      <c r="C13" s="22" t="inlineStr">
        <is>
          <t>Clarita Olivia Sinaga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n">
        <v>1512</v>
      </c>
      <c r="C14" s="22" t="inlineStr">
        <is>
          <t>Coryn Aurora Zhan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n">
        <v>1513</v>
      </c>
      <c r="C15" s="21" t="inlineStr">
        <is>
          <t>Darren Elvano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n">
        <v>1514</v>
      </c>
      <c r="C16" s="22" t="inlineStr">
        <is>
          <t>Darren Tristan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n">
        <v>1515</v>
      </c>
      <c r="C17" s="21" t="inlineStr">
        <is>
          <t>Davian Kenrick Lu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>
        <v>1516</v>
      </c>
      <c r="C18" s="21" t="inlineStr">
        <is>
          <t>Devan Ivander Siahaan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0" t="n">
        <v>1517</v>
      </c>
      <c r="C19" s="22" t="inlineStr">
        <is>
          <t>Elsa Harianja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0" t="n">
        <v>1518</v>
      </c>
      <c r="C20" s="22" t="inlineStr">
        <is>
          <t>Ferencia Lu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0" t="n">
        <v>1519</v>
      </c>
      <c r="C21" s="21" t="inlineStr">
        <is>
          <t>Jemia Zhevano Yamresa Kembaren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0" t="n">
        <v>1520</v>
      </c>
      <c r="C22" s="22" t="inlineStr">
        <is>
          <t>Jocelyn Marcella Su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inlineStr">
        <is>
          <t>S</t>
        </is>
      </c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0" t="n">
        <v>1521</v>
      </c>
      <c r="C23" s="21" t="inlineStr">
        <is>
          <t>Joevanca Chesa Athalia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inlineStr">
        <is>
          <t>I</t>
        </is>
      </c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0" t="n">
        <v>1522</v>
      </c>
      <c r="C24" s="24" t="inlineStr">
        <is>
          <t>Kayla Hosanna Charissa Sihombing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0" t="n">
        <v>1523</v>
      </c>
      <c r="C25" s="21" t="inlineStr">
        <is>
          <t>Keilyn Queensha Ong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0" t="n">
        <v>1524</v>
      </c>
      <c r="C26" s="21" t="inlineStr">
        <is>
          <t>Keyla Toshiro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0" t="n">
        <v>1525</v>
      </c>
      <c r="C27" s="22" t="inlineStr">
        <is>
          <t>Liora Eliana Panjaitan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0" t="n">
        <v>1526</v>
      </c>
      <c r="C28" s="21" t="inlineStr">
        <is>
          <t>Lishaalini Krisna Naidu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0" t="n">
        <v>1527</v>
      </c>
      <c r="C29" s="22" t="inlineStr">
        <is>
          <t>Melviano Arentino Wijaya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0" t="n">
        <v>1528</v>
      </c>
      <c r="C30" s="21" t="inlineStr">
        <is>
          <t>Queenly Nathaniela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0" t="n">
        <v>1529</v>
      </c>
      <c r="C31" s="25" t="inlineStr">
        <is>
          <t>Richelcia Wijaya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inlineStr">
        <is>
          <t>A</t>
        </is>
      </c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0" t="n">
        <v>1530</v>
      </c>
      <c r="C32" s="22" t="inlineStr">
        <is>
          <t>Ricson Valenthino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0" t="n">
        <v>1531</v>
      </c>
      <c r="C33" s="21" t="inlineStr">
        <is>
          <t>Rui Reynara Shen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0" t="n">
        <v>1532</v>
      </c>
      <c r="C34" s="21" t="inlineStr">
        <is>
          <t>Shane Michael Lienardie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0" t="n">
        <v>1533</v>
      </c>
      <c r="C35" s="22" t="inlineStr">
        <is>
          <t>Shelomitha Eliora Simanjuntak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inlineStr">
        <is>
          <t>S</t>
        </is>
      </c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0" t="n">
        <v>1534</v>
      </c>
      <c r="C36" s="22" t="inlineStr">
        <is>
          <t>Willian Geoffrey Utama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>
        <f>IFERROR(VLOOKUP(A37&amp;$AJ$2,#REF!,4,FALSE), "")</f>
        <v/>
      </c>
      <c r="C37" s="11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>
        <f>IFERROR(VLOOKUP(A38&amp;$AJ$2,#REF!,4,FALSE), "")</f>
        <v/>
      </c>
      <c r="C38" s="11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>
        <f>IFERROR(VLOOKUP(A39&amp;$AJ$2,#REF!,4,FALSE), "")</f>
        <v/>
      </c>
      <c r="C39" s="1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>
        <f>IFERROR(VLOOKUP(A40&amp;$AJ$2,#REF!,4,FALSE), "")</f>
        <v/>
      </c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>
        <f>IFERROR(VLOOKUP(A41&amp;$AJ$2,#REF!,4,FALSE), "")</f>
        <v/>
      </c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>
        <f>IFERROR(VLOOKUP(A42&amp;$AJ$2,#REF!,4,FALSE), "")</f>
        <v/>
      </c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>
        <f>IFERROR(VLOOKUP(A43&amp;$AJ$2,#REF!,4,FALSE), "")</f>
        <v/>
      </c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>
        <f>IFERROR(VLOOKUP(A44&amp;$AJ$2,#REF!,4,FALSE), "")</f>
        <v/>
      </c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>
        <f>IFERROR(VLOOKUP(A45&amp;$AJ$2,#REF!,4,FALSE), "")</f>
        <v/>
      </c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>
        <f>IFERROR(VLOOKUP(A46&amp;$AJ$2,#REF!,4,FALSE), "")</f>
        <v/>
      </c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>
      <c r="B47">
        <f>IFERROR(VLOOKUP(A47&amp;$AJ$2,#REF!,4,FALSE), "")</f>
        <v/>
      </c>
    </row>
    <row r="48" ht="14.25" customHeight="1" s="36">
      <c r="B48">
        <f>IFERROR(VLOOKUP(A48&amp;$AJ$2,#REF!,4,FALSE), "")</f>
        <v/>
      </c>
    </row>
    <row r="49" ht="14.25" customHeight="1" s="36">
      <c r="B49">
        <f>IFERROR(VLOOKUP(A49&amp;$AJ$2,#REF!,4,FALSE), "")</f>
        <v/>
      </c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E7:AH46" showDropDown="0" showInputMessage="0" showErrorMessage="1" allowBlank="1" type="list">
      <formula1>$AK$7:$AK$10</formula1>
    </dataValidation>
    <dataValidation sqref="D7:D46" showDropDown="0" showInputMessage="0" showErrorMessage="1" allowBlank="1" type="list">
      <formula1>$AK$7:$AK$9</formula1>
    </dataValidation>
  </dataValidations>
  <pageMargins left="0.3" right="0.3" top="0.3" bottom="0.3" header="0" footer="0"/>
  <pageSetup orientation="landscape" paperSize="14" scale="9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55"/>
  <sheetViews>
    <sheetView tabSelected="1" workbookViewId="0">
      <selection activeCell="V1" sqref="V1:V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5" customWidth="1" style="36" min="4" max="9"/>
    <col width="3.5" customWidth="1" style="36" min="5" max="5"/>
    <col hidden="1" width="3.5" customWidth="1" style="36" min="6" max="6"/>
    <col width="3.5" customWidth="1" style="36" min="7" max="7"/>
    <col width="3.5" customWidth="1" style="36" min="8" max="8"/>
    <col width="3.5" customWidth="1" style="36" min="9" max="9"/>
    <col width="3.5" customWidth="1" style="36" min="10" max="10"/>
    <col width="3.5" customWidth="1" style="36" min="11" max="16"/>
    <col width="3.5" customWidth="1" style="36" min="12" max="12"/>
    <col hidden="1" width="3.5" customWidth="1" style="36" min="13" max="13"/>
    <col width="3.5" customWidth="1" style="36" min="14" max="14"/>
    <col width="3.5" customWidth="1" style="36" min="15" max="15"/>
    <col width="3.5" customWidth="1" style="36" min="16" max="16"/>
    <col hidden="1" width="3.5" customWidth="1" style="36" min="17" max="21"/>
    <col width="3.5" customWidth="1" style="36" min="18" max="18"/>
    <col width="3.5" customWidth="1" style="36" min="19" max="19"/>
    <col hidden="1" width="3.5" customWidth="1" style="36" min="20" max="20"/>
    <col width="3.5" customWidth="1" style="36" min="21" max="21"/>
    <col width="3.5" customWidth="1" style="36" min="22" max="22"/>
    <col width="3.5" customWidth="1" style="36" min="23" max="34"/>
    <col width="3.5" customWidth="1" style="36" min="24" max="24"/>
    <col width="3.5" customWidth="1" style="36" min="25" max="25"/>
    <col width="3.5" customWidth="1" style="36" min="26" max="26"/>
    <col hidden="1" width="3.5" customWidth="1" style="36" min="27" max="27"/>
    <col width="3.5" customWidth="1" style="36" min="28" max="28"/>
    <col width="3.5" customWidth="1" style="36" min="29" max="29"/>
    <col hidden="1" width="3.5" customWidth="1" style="36" min="30" max="30"/>
    <col width="3.5" customWidth="1" style="36" min="31" max="31"/>
    <col width="3.5" customWidth="1" style="36" min="32" max="32"/>
    <col width="3.5" customWidth="1" style="36" min="33" max="33"/>
    <col hidden="1" width="3.5" customWidth="1" style="36" min="34" max="34"/>
    <col width="8.7265625" customWidth="1" style="36" min="35" max="37"/>
    <col width="13" customWidth="1" style="36" min="36" max="36"/>
    <col width="13" customWidth="1" style="36" min="37" max="37"/>
    <col width="5.54296875" customWidth="1" style="36" min="38" max="41"/>
    <col width="13" customWidth="1" style="36" min="39" max="39"/>
    <col width="13" customWidth="1" style="36" min="40" max="40"/>
    <col width="13" customWidth="1" style="36" min="41" max="41"/>
    <col width="13" customWidth="1" style="36" min="42" max="42"/>
    <col width="13" customWidth="1" style="36" min="43" max="43"/>
    <col width="13" customWidth="1" style="36" min="44" max="44"/>
    <col width="13" customWidth="1" style="36" min="45" max="45"/>
    <col width="13" customWidth="1" style="36" min="46" max="46"/>
    <col width="13" customWidth="1" style="36" min="47" max="47"/>
    <col width="13" customWidth="1" style="36" min="48" max="48"/>
    <col width="13" customWidth="1" style="36" min="49" max="49"/>
  </cols>
  <sheetData>
    <row r="1" ht="14.25" customHeight="1" s="36">
      <c r="A1" s="35" t="n">
        <v>0</v>
      </c>
      <c r="Q1" s="1" t="n"/>
      <c r="R1" s="1" t="n"/>
      <c r="S1" s="1" t="n">
        <v>0</v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2025/2026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TKB1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April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n">
        <v>7</v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9" t="n">
        <v>1439</v>
      </c>
      <c r="C7" s="14" t="inlineStr">
        <is>
          <t>Kyla Nathania Chang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9" t="n">
        <v>1441</v>
      </c>
      <c r="C8" s="15" t="inlineStr">
        <is>
          <t>Muhammad Raffasya Aditya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9" t="n">
        <v>1449</v>
      </c>
      <c r="C9" s="15" t="inlineStr">
        <is>
          <t>Valerie Tohvinsky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9" t="n">
        <v>1450</v>
      </c>
      <c r="C10" s="16" t="inlineStr">
        <is>
          <t>Vincent Andreanus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9" t="n">
        <v>1459</v>
      </c>
      <c r="C11" s="16" t="inlineStr">
        <is>
          <t>Edmond Axelle Chan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inlineStr">
        <is>
          <t>S</t>
        </is>
      </c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9" t="n">
        <v>1473</v>
      </c>
      <c r="C12" s="15" t="inlineStr">
        <is>
          <t>Raileen Valerie Hugo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17" t="n">
        <v>1476</v>
      </c>
      <c r="C13" s="16" t="inlineStr">
        <is>
          <t>Abraham Katikana Ginting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9" t="n">
        <v>1477</v>
      </c>
      <c r="C14" s="15" t="inlineStr">
        <is>
          <t>Adelia Manuella Br. Butar-butar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17" t="n">
        <v>1478</v>
      </c>
      <c r="C15" s="15" t="inlineStr">
        <is>
          <t>Arnold Johannes Lutan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9" t="n">
        <v>1479</v>
      </c>
      <c r="C16" s="15" t="inlineStr">
        <is>
          <t>Bhaskara Salomo Siregar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17" t="n">
        <v>1480</v>
      </c>
      <c r="C17" s="15" t="inlineStr">
        <is>
          <t>Darren Almero Chen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9" t="n">
        <v>1481</v>
      </c>
      <c r="C18" s="15" t="inlineStr">
        <is>
          <t>Darren Hasiholan Nahulae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7" t="n">
        <v>1482</v>
      </c>
      <c r="C19" s="15" t="inlineStr">
        <is>
          <t>Effendi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9" t="n">
        <v>1483</v>
      </c>
      <c r="C20" s="15" t="inlineStr">
        <is>
          <t>Geonathan Samudra Simamora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7" t="n">
        <v>1484</v>
      </c>
      <c r="C21" s="16" t="inlineStr">
        <is>
          <t>Gestalt Jesen Edellio Manurung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9" t="n">
        <v>1485</v>
      </c>
      <c r="C22" s="16" t="inlineStr">
        <is>
          <t>Grace Felicia Simbolon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7" t="n">
        <v>1486</v>
      </c>
      <c r="C23" s="15" t="inlineStr">
        <is>
          <t>Janeeta Elora Silaban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inlineStr">
        <is>
          <t>S</t>
        </is>
      </c>
      <c r="Q23" s="8" t="n"/>
      <c r="R23" s="8" t="inlineStr">
        <is>
          <t>S</t>
        </is>
      </c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9" t="n">
        <v>1487</v>
      </c>
      <c r="C24" s="16" t="inlineStr">
        <is>
          <t>Jayden Febrian Chai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7" t="n">
        <v>1488</v>
      </c>
      <c r="C25" s="14" t="inlineStr">
        <is>
          <t>Jocelin Samosir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9" t="n">
        <v>1489</v>
      </c>
      <c r="C26" s="16" t="inlineStr">
        <is>
          <t>Kartika Joceline Simanjuntak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7" t="n">
        <v>1490</v>
      </c>
      <c r="C27" s="16" t="inlineStr">
        <is>
          <t>Larasaty Pramidita Sihite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9" t="n">
        <v>1491</v>
      </c>
      <c r="C28" s="15" t="inlineStr">
        <is>
          <t>Michelle Angela Tan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7" t="n">
        <v>1492</v>
      </c>
      <c r="C29" s="15" t="inlineStr">
        <is>
          <t>Mikhael Glorius Simbolon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9" t="n">
        <v>1493</v>
      </c>
      <c r="C30" s="15" t="inlineStr">
        <is>
          <t>Naraya Elsandri Br. Sembiring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inlineStr">
        <is>
          <t>s</t>
        </is>
      </c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7" t="n">
        <v>1494</v>
      </c>
      <c r="C31" s="16" t="inlineStr">
        <is>
          <t>Reinier Jackson Yaputra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9" t="n">
        <v>1495</v>
      </c>
      <c r="C32" s="16" t="inlineStr">
        <is>
          <t>Rweno Richie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7" t="n">
        <v>1496</v>
      </c>
      <c r="C33" s="15" t="inlineStr">
        <is>
          <t>Sagiv Levinskie Nainggolan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9" t="n">
        <v>1497</v>
      </c>
      <c r="C34" s="16" t="inlineStr">
        <is>
          <t>Sean Milan Saragih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7" t="n">
        <v>1498</v>
      </c>
      <c r="C35" s="14" t="inlineStr">
        <is>
          <t>Sheera Leticia Nainggolan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9" t="n">
        <v>1499</v>
      </c>
      <c r="C36" s="16" t="inlineStr">
        <is>
          <t>Sheryn Florencia Nainggolan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7" t="n">
        <v>1500</v>
      </c>
      <c r="C37" s="16" t="inlineStr">
        <is>
          <t>Trini Arindy Br. Pasaribu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9" t="n">
        <v>1501</v>
      </c>
      <c r="C38" s="16" t="inlineStr">
        <is>
          <t>Valencia Tjuatja</t>
        </is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7" t="n">
        <v>1502</v>
      </c>
      <c r="C39" s="15" t="inlineStr">
        <is>
          <t>Vallerie Laurist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9" t="n">
        <v>1503</v>
      </c>
      <c r="C40" s="18" t="inlineStr">
        <is>
          <t>Vionetta Brylie Siregar</t>
        </is>
      </c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7" t="n">
        <v>1504</v>
      </c>
      <c r="C41" s="14" t="inlineStr">
        <is>
          <t>Wilson Nicholas Lim</t>
        </is>
      </c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9" t="n">
        <v>1535</v>
      </c>
      <c r="C42" s="16" t="inlineStr">
        <is>
          <t>Gabe Cristiano Gultom</t>
        </is>
      </c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C43" s="3" t="inlineStr">
        <is>
          <t>helena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>
        <f>IFERROR(VLOOKUP(A44&amp;$AJ$2,#REF!,4,FALSE), "")</f>
        <v/>
      </c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>
        <f>IFERROR(VLOOKUP(A45&amp;$AJ$2,#REF!,4,FALSE), "")</f>
        <v/>
      </c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>
        <f>IFERROR(VLOOKUP(A46&amp;$AJ$2,#REF!,4,FALSE), "")</f>
        <v/>
      </c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>
      <c r="B47">
        <f>IFERROR(VLOOKUP(A47&amp;$AJ$2,#REF!,4,FALSE), "")</f>
        <v/>
      </c>
    </row>
    <row r="48" ht="14.25" customHeight="1" s="36">
      <c r="B48">
        <f>IFERROR(VLOOKUP(A48&amp;$AJ$2,#REF!,4,FALSE), "")</f>
        <v/>
      </c>
    </row>
    <row r="49" ht="14.25" customHeight="1" s="36">
      <c r="B49">
        <f>IFERROR(VLOOKUP(A49&amp;$AJ$2,#REF!,4,FALSE), "")</f>
        <v/>
      </c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>
      <c r="Q55" t="inlineStr">
        <is>
          <t>S</t>
        </is>
      </c>
      <c r="R55" t="inlineStr">
        <is>
          <t>S</t>
        </is>
      </c>
      <c r="S55" t="inlineStr">
        <is>
          <t>S</t>
        </is>
      </c>
    </row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1">
    <dataValidation sqref="D7:AH46" showDropDown="0" showInputMessage="0" showErrorMessage="1" allowBlank="1" type="list">
      <formula1>$AK$7:$AK$10</formula1>
    </dataValidation>
  </dataValidations>
  <pageMargins left="0.3" right="0.3" top="0.3" bottom="0.3" header="0" footer="0"/>
  <pageSetup orientation="landscape" paperSize="14" scale="9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selection activeCell="U7" sqref="U7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5" customWidth="1" style="36" min="4" max="16"/>
    <col width="3.5" customWidth="1" style="36" min="5" max="5"/>
    <col hidden="1" width="3.5" customWidth="1" style="36" min="6" max="6"/>
    <col width="3.5" customWidth="1" style="36" min="7" max="7"/>
    <col width="3.5" customWidth="1" style="36" min="8" max="8"/>
    <col width="3.5" customWidth="1" style="36" min="9" max="9"/>
    <col width="3.5" customWidth="1" style="36" min="10" max="10"/>
    <col width="3.5" customWidth="1" style="36" min="11" max="11"/>
    <col width="3.5" customWidth="1" style="36" min="12" max="12"/>
    <col hidden="1" width="3.5" customWidth="1" style="36" min="13" max="13"/>
    <col width="3.5" customWidth="1" style="36" min="14" max="14"/>
    <col width="3.5" customWidth="1" style="36" min="15" max="15"/>
    <col width="3.5" customWidth="1" style="36" min="16" max="16"/>
    <col hidden="1" width="3.5" customWidth="1" style="36" min="17" max="21"/>
    <col width="3.5" customWidth="1" style="36" min="18" max="18"/>
    <col width="3.5" customWidth="1" style="36" min="19" max="19"/>
    <col hidden="1" width="3.5" customWidth="1" style="36" min="20" max="20"/>
    <col width="3.5" customWidth="1" style="36" min="21" max="21"/>
    <col width="3.5" customWidth="1" style="36" min="22" max="22"/>
    <col width="3.5" customWidth="1" style="36" min="23" max="34"/>
    <col width="3.5" customWidth="1" style="36" min="24" max="24"/>
    <col width="3.5" customWidth="1" style="36" min="25" max="25"/>
    <col width="3.5" customWidth="1" style="36" min="26" max="26"/>
    <col hidden="1" width="3.5" customWidth="1" style="36" min="27" max="27"/>
    <col width="3.5" customWidth="1" style="36" min="28" max="28"/>
    <col width="3.5" customWidth="1" style="36" min="29" max="29"/>
    <col hidden="1" width="3.5" customWidth="1" style="36" min="30" max="30"/>
    <col width="3.5" customWidth="1" style="36" min="31" max="31"/>
    <col width="3.5" customWidth="1" style="36" min="32" max="32"/>
    <col width="3.5" customWidth="1" style="36" min="33" max="33"/>
    <col hidden="1" width="3.5" customWidth="1" style="36" min="34" max="34"/>
    <col width="8.7265625" customWidth="1" style="36" min="35" max="37"/>
    <col width="13" customWidth="1" style="36" min="36" max="36"/>
    <col width="13" customWidth="1" style="36" min="37" max="37"/>
    <col width="5.54296875" customWidth="1" style="36" min="38" max="41"/>
    <col width="13" customWidth="1" style="36" min="39" max="39"/>
    <col width="13" customWidth="1" style="36" min="40" max="40"/>
    <col width="13" customWidth="1" style="36" min="41" max="41"/>
    <col width="13" customWidth="1" style="36" min="42" max="42"/>
    <col width="13" customWidth="1" style="36" min="43" max="43"/>
    <col width="13" customWidth="1" style="36" min="44" max="44"/>
    <col width="13" customWidth="1" style="36" min="45" max="45"/>
    <col width="13" customWidth="1" style="36" min="46" max="46"/>
    <col width="13" customWidth="1" style="36" min="47" max="47"/>
    <col width="13" customWidth="1" style="36" min="48" max="48"/>
    <col width="13" customWidth="1" style="36" min="4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>
        <v>0</v>
      </c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2025/2026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TKB2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April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8" t="n">
        <v>1386</v>
      </c>
      <c r="C7" s="29" t="inlineStr">
        <is>
          <t>Chelsea Valerie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19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8" t="n">
        <v>1428</v>
      </c>
      <c r="C8" s="30" t="inlineStr">
        <is>
          <t>Adrellia Tessya Samantha Sianturi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8" t="n">
        <v>1429</v>
      </c>
      <c r="C9" s="31" t="inlineStr">
        <is>
          <t>Arfan Ginting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8" t="n">
        <v>1430</v>
      </c>
      <c r="C10" s="32" t="inlineStr">
        <is>
          <t>Brienne Nathania Carolyne Pakpahan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8" t="n">
        <v>1432</v>
      </c>
      <c r="C11" s="31" t="inlineStr">
        <is>
          <t>Chester Tankino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8" t="n">
        <v>1433</v>
      </c>
      <c r="C12" s="29" t="inlineStr">
        <is>
          <t>Cristine Dharani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8" t="n">
        <v>1435</v>
      </c>
      <c r="C13" s="31" t="inlineStr">
        <is>
          <t>Gavinta Elon Siregar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8" t="n">
        <v>1436</v>
      </c>
      <c r="C14" s="29" t="inlineStr">
        <is>
          <t>Gavrila Maranatha Maris Panjaitan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8" t="n">
        <v>1437</v>
      </c>
      <c r="C15" s="31" t="inlineStr">
        <is>
          <t>Given Ryshaka Simbolon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8" t="n">
        <v>1438</v>
      </c>
      <c r="C16" s="31" t="inlineStr">
        <is>
          <t>Joachim Yang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8" t="n">
        <v>1440</v>
      </c>
      <c r="C17" s="29" t="inlineStr">
        <is>
          <t>Michelle Kimberly Gui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8" t="n">
        <v>1442</v>
      </c>
      <c r="C18" s="31" t="inlineStr">
        <is>
          <t>Pangeran Hagro Haloho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8" t="n">
        <v>1443</v>
      </c>
      <c r="C19" s="29" t="inlineStr">
        <is>
          <t>Pedro Karvinta Sembiring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8" t="n">
        <v>1444</v>
      </c>
      <c r="C20" s="31" t="inlineStr">
        <is>
          <t>Richa Dwily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5" t="n">
        <v>1445</v>
      </c>
      <c r="C21" s="24" t="inlineStr">
        <is>
          <t>Robyn Imanuel Louis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8" t="n">
        <v>1446</v>
      </c>
      <c r="C22" s="33" t="inlineStr">
        <is>
          <t>Shayna Amoureyza Sitepu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8" t="n">
        <v>1447</v>
      </c>
      <c r="C23" s="29" t="inlineStr">
        <is>
          <t>Stevia Chrisela Chai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8" t="n">
        <v>1448</v>
      </c>
      <c r="C24" s="29" t="inlineStr">
        <is>
          <t>Theo Rafa Pakpahan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8" t="n">
        <v>1451</v>
      </c>
      <c r="C25" s="29" t="inlineStr">
        <is>
          <t>Vinnie Gea Halim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8" t="n">
        <v>1452</v>
      </c>
      <c r="C26" s="31" t="inlineStr">
        <is>
          <t>Abercio Kiano Drake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8" t="n">
        <v>1453</v>
      </c>
      <c r="C27" s="29" t="inlineStr">
        <is>
          <t>Aleysia Callista Br Ompusunggu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8" t="n">
        <v>1454</v>
      </c>
      <c r="C28" s="29" t="inlineStr">
        <is>
          <t>Alvaro Gavriel Karo Karo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8" t="n">
        <v>1455</v>
      </c>
      <c r="C29" s="29" t="inlineStr">
        <is>
          <t>Bryan Maxwell Angkasa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8" t="n">
        <v>1456</v>
      </c>
      <c r="C30" s="31" t="inlineStr">
        <is>
          <t>Christine Laotan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8" t="n">
        <v>1457</v>
      </c>
      <c r="C31" s="29" t="inlineStr">
        <is>
          <t>Claudia Zetta Br Tarigan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8" t="n">
        <v>1458</v>
      </c>
      <c r="C32" s="29" t="inlineStr">
        <is>
          <t>Daven Gavriel Winlie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8" t="n">
        <v>1461</v>
      </c>
      <c r="C33" s="34" t="inlineStr">
        <is>
          <t>Felix Louis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8" t="n">
        <v>1462</v>
      </c>
      <c r="C34" s="29" t="inlineStr">
        <is>
          <t>Glerine Richya Tumanggor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8" t="n">
        <v>1463</v>
      </c>
      <c r="C35" s="29" t="inlineStr">
        <is>
          <t>Grace Nataly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8" t="n">
        <v>1465</v>
      </c>
      <c r="C36" s="29" t="inlineStr">
        <is>
          <t>Greysia Dhita Panggabean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28" t="n">
        <v>1466</v>
      </c>
      <c r="C37" s="29" t="inlineStr">
        <is>
          <t>Jasmine Valerie Yap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28" t="n">
        <v>1468</v>
      </c>
      <c r="C38" s="29" t="inlineStr">
        <is>
          <t>Kenstein Elton Lim</t>
        </is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28" t="n">
        <v>1470</v>
      </c>
      <c r="C39" s="31" t="inlineStr">
        <is>
          <t>Kenzo Kiano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28" t="n">
        <v>1471</v>
      </c>
      <c r="C40" s="31" t="inlineStr">
        <is>
          <t>Marquez Boas Aritonang</t>
        </is>
      </c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28" t="n">
        <v>1472</v>
      </c>
      <c r="C41" s="29" t="inlineStr">
        <is>
          <t>Peter Djuandi</t>
        </is>
      </c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28" t="n">
        <v>1475</v>
      </c>
      <c r="C42" s="29" t="inlineStr">
        <is>
          <t>Hiromi Sheena Silalahi</t>
        </is>
      </c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>
        <f>IFERROR(VLOOKUP(A43&amp;$AJ$2,#REF!,4,FALSE), "")</f>
        <v/>
      </c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>
        <f>IFERROR(VLOOKUP(A44&amp;$AJ$2,#REF!,4,FALSE), "")</f>
        <v/>
      </c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>
        <f>IFERROR(VLOOKUP(A45&amp;$AJ$2,#REF!,4,FALSE), "")</f>
        <v/>
      </c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>
        <f>IFERROR(VLOOKUP(A46&amp;$AJ$2,#REF!,4,FALSE), "")</f>
        <v/>
      </c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>
      <c r="B47">
        <f>IFERROR(VLOOKUP(A47&amp;$AJ$2,#REF!,4,FALSE), "")</f>
        <v/>
      </c>
    </row>
    <row r="48" ht="14.25" customHeight="1" s="36">
      <c r="B48">
        <f>IFERROR(VLOOKUP(A48&amp;$AJ$2,#REF!,4,FALSE), "")</f>
        <v/>
      </c>
    </row>
    <row r="49" ht="14.25" customHeight="1" s="36">
      <c r="B49">
        <f>IFERROR(VLOOKUP(A49&amp;$AJ$2,#REF!,4,FALSE), "")</f>
        <v/>
      </c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1">
    <dataValidation sqref="D7:AH46" showDropDown="0" showInputMessage="0" showErrorMessage="1" allowBlank="1" type="list">
      <formula1>$AK$7:$AK$10</formula1>
    </dataValidation>
  </dataValidations>
  <pageMargins left="0.3" right="0.3" top="0.3" bottom="0.3" header="0" footer="0"/>
  <pageSetup orientation="landscape" paperSize="14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yonatan</dc:creator>
  <dcterms:created xmlns:dcterms="http://purl.org/dc/terms/" xmlns:xsi="http://www.w3.org/2001/XMLSchema-instance" xsi:type="dcterms:W3CDTF">2025-08-30T01:54:57Z</dcterms:created>
  <dcterms:modified xmlns:dcterms="http://purl.org/dc/terms/" xmlns:xsi="http://www.w3.org/2001/XMLSchema-instance" xsi:type="dcterms:W3CDTF">2026-05-16T02:06:09Z</dcterms:modified>
  <cp:lastModifiedBy>yonatan kwee</cp:lastModifiedBy>
</cp:coreProperties>
</file>